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1052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jpd/Documents/Latin_drama_PCA/"/>
    </mc:Choice>
  </mc:AlternateContent>
  <xr:revisionPtr revIDLastSave="0" documentId="13_ncr:40009_{01A3AC29-BD5D-434C-A7EA-509000243A9F}" xr6:coauthVersionLast="33" xr6:coauthVersionMax="33" xr10:uidLastSave="{00000000-0000-0000-0000-000000000000}"/>
  <bookViews>
    <workbookView xWindow="480" yWindow="960" windowWidth="25040" windowHeight="14320"/>
  </bookViews>
  <sheets>
    <sheet name="Transformed" sheetId="2" r:id="rId1"/>
    <sheet name="Values" sheetId="3" r:id="rId2"/>
    <sheet name="stylometry_data_drama" sheetId="1" r:id="rId3"/>
  </sheets>
  <calcPr calcId="179017"/>
</workbook>
</file>

<file path=xl/calcChain.xml><?xml version="1.0" encoding="utf-8"?>
<calcChain xmlns="http://schemas.openxmlformats.org/spreadsheetml/2006/main">
  <c r="Z37" i="2" l="1"/>
  <c r="Y37" i="2"/>
  <c r="X37" i="2"/>
  <c r="W37" i="2"/>
  <c r="V37" i="2"/>
  <c r="U37" i="2"/>
  <c r="T37" i="2"/>
  <c r="S37" i="2"/>
  <c r="R37" i="2"/>
  <c r="Q37" i="2"/>
  <c r="P37" i="2"/>
  <c r="O37" i="2"/>
  <c r="N37" i="2"/>
  <c r="M37" i="2"/>
  <c r="L37" i="2"/>
  <c r="K37" i="2"/>
  <c r="J37" i="2"/>
  <c r="I37" i="2"/>
  <c r="H37" i="2"/>
  <c r="G37" i="2"/>
  <c r="F37" i="2"/>
  <c r="E37" i="2"/>
  <c r="D37" i="2"/>
  <c r="C37" i="2"/>
  <c r="Z36" i="2"/>
  <c r="Y36" i="2"/>
  <c r="X36" i="2"/>
  <c r="W36" i="2"/>
  <c r="V36" i="2"/>
  <c r="U36" i="2"/>
  <c r="T36" i="2"/>
  <c r="S36" i="2"/>
  <c r="R36" i="2"/>
  <c r="Q36" i="2"/>
  <c r="P36" i="2"/>
  <c r="O36" i="2"/>
  <c r="N36" i="2"/>
  <c r="M36" i="2"/>
  <c r="L36" i="2"/>
  <c r="K36" i="2"/>
  <c r="J36" i="2"/>
  <c r="I36" i="2"/>
  <c r="H36" i="2"/>
  <c r="G36" i="2"/>
  <c r="F36" i="2"/>
  <c r="E36" i="2"/>
  <c r="D36" i="2"/>
  <c r="C36" i="2"/>
  <c r="Z35" i="2"/>
  <c r="Y35" i="2"/>
  <c r="X35" i="2"/>
  <c r="W35" i="2"/>
  <c r="V35" i="2"/>
  <c r="U35" i="2"/>
  <c r="T35" i="2"/>
  <c r="S35" i="2"/>
  <c r="R35" i="2"/>
  <c r="Q35" i="2"/>
  <c r="P35" i="2"/>
  <c r="O35" i="2"/>
  <c r="N35" i="2"/>
  <c r="M35" i="2"/>
  <c r="L35" i="2"/>
  <c r="K35" i="2"/>
  <c r="J35" i="2"/>
  <c r="I35" i="2"/>
  <c r="H35" i="2"/>
  <c r="G35" i="2"/>
  <c r="F35" i="2"/>
  <c r="E35" i="2"/>
  <c r="D35" i="2"/>
  <c r="C35" i="2"/>
  <c r="Z34" i="2"/>
  <c r="Y34" i="2"/>
  <c r="X34" i="2"/>
  <c r="W34" i="2"/>
  <c r="V34" i="2"/>
  <c r="U34" i="2"/>
  <c r="T34" i="2"/>
  <c r="S34" i="2"/>
  <c r="R34" i="2"/>
  <c r="Q34" i="2"/>
  <c r="P34" i="2"/>
  <c r="O34" i="2"/>
  <c r="N34" i="2"/>
  <c r="M34" i="2"/>
  <c r="L34" i="2"/>
  <c r="K34" i="2"/>
  <c r="J34" i="2"/>
  <c r="I34" i="2"/>
  <c r="H34" i="2"/>
  <c r="G34" i="2"/>
  <c r="F34" i="2"/>
  <c r="E34" i="2"/>
  <c r="D34" i="2"/>
  <c r="C34" i="2"/>
  <c r="Z33" i="2"/>
  <c r="Y33" i="2"/>
  <c r="X33" i="2"/>
  <c r="W33" i="2"/>
  <c r="V33" i="2"/>
  <c r="U33" i="2"/>
  <c r="T33" i="2"/>
  <c r="S33" i="2"/>
  <c r="R33" i="2"/>
  <c r="Q33" i="2"/>
  <c r="P33" i="2"/>
  <c r="O33" i="2"/>
  <c r="N33" i="2"/>
  <c r="M33" i="2"/>
  <c r="L33" i="2"/>
  <c r="K33" i="2"/>
  <c r="J33" i="2"/>
  <c r="I33" i="2"/>
  <c r="H33" i="2"/>
  <c r="G33" i="2"/>
  <c r="F33" i="2"/>
  <c r="E33" i="2"/>
  <c r="D33" i="2"/>
  <c r="C33" i="2"/>
  <c r="Z32" i="2"/>
  <c r="Y32" i="2"/>
  <c r="X32" i="2"/>
  <c r="W32" i="2"/>
  <c r="V32" i="2"/>
  <c r="U32" i="2"/>
  <c r="T32" i="2"/>
  <c r="S32" i="2"/>
  <c r="R32" i="2"/>
  <c r="Q32" i="2"/>
  <c r="P32" i="2"/>
  <c r="O32" i="2"/>
  <c r="N32" i="2"/>
  <c r="M32" i="2"/>
  <c r="L32" i="2"/>
  <c r="K32" i="2"/>
  <c r="J32" i="2"/>
  <c r="I32" i="2"/>
  <c r="H32" i="2"/>
  <c r="G32" i="2"/>
  <c r="F32" i="2"/>
  <c r="E32" i="2"/>
  <c r="D32" i="2"/>
  <c r="C32" i="2"/>
  <c r="Z31" i="2"/>
  <c r="Y31" i="2"/>
  <c r="X31" i="2"/>
  <c r="W31" i="2"/>
  <c r="V31" i="2"/>
  <c r="U31" i="2"/>
  <c r="T31" i="2"/>
  <c r="S31" i="2"/>
  <c r="R31" i="2"/>
  <c r="Q31" i="2"/>
  <c r="P31" i="2"/>
  <c r="O31" i="2"/>
  <c r="N31" i="2"/>
  <c r="M31" i="2"/>
  <c r="L31" i="2"/>
  <c r="K31" i="2"/>
  <c r="J31" i="2"/>
  <c r="I31" i="2"/>
  <c r="H31" i="2"/>
  <c r="G31" i="2"/>
  <c r="F31" i="2"/>
  <c r="E31" i="2"/>
  <c r="D31" i="2"/>
  <c r="C31" i="2"/>
  <c r="Z30" i="2"/>
  <c r="Y30" i="2"/>
  <c r="X30" i="2"/>
  <c r="W30" i="2"/>
  <c r="V30" i="2"/>
  <c r="U30" i="2"/>
  <c r="T30" i="2"/>
  <c r="S30" i="2"/>
  <c r="R30" i="2"/>
  <c r="Q30" i="2"/>
  <c r="P30" i="2"/>
  <c r="O30" i="2"/>
  <c r="N30" i="2"/>
  <c r="M30" i="2"/>
  <c r="L30" i="2"/>
  <c r="K30" i="2"/>
  <c r="J30" i="2"/>
  <c r="I30" i="2"/>
  <c r="H30" i="2"/>
  <c r="G30" i="2"/>
  <c r="F30" i="2"/>
  <c r="E30" i="2"/>
  <c r="D30" i="2"/>
  <c r="C30" i="2"/>
  <c r="Z29" i="2"/>
  <c r="Y29" i="2"/>
  <c r="X29" i="2"/>
  <c r="W29" i="2"/>
  <c r="V29" i="2"/>
  <c r="U29" i="2"/>
  <c r="T29" i="2"/>
  <c r="S29" i="2"/>
  <c r="R29" i="2"/>
  <c r="Q29" i="2"/>
  <c r="P29" i="2"/>
  <c r="O29" i="2"/>
  <c r="N29" i="2"/>
  <c r="M29" i="2"/>
  <c r="L29" i="2"/>
  <c r="K29" i="2"/>
  <c r="J29" i="2"/>
  <c r="I29" i="2"/>
  <c r="H29" i="2"/>
  <c r="G29" i="2"/>
  <c r="F29" i="2"/>
  <c r="E29" i="2"/>
  <c r="D29" i="2"/>
  <c r="C29" i="2"/>
  <c r="Z28" i="2"/>
  <c r="Y28" i="2"/>
  <c r="X28" i="2"/>
  <c r="W28" i="2"/>
  <c r="V28" i="2"/>
  <c r="U28" i="2"/>
  <c r="T28" i="2"/>
  <c r="S28" i="2"/>
  <c r="R28" i="2"/>
  <c r="Q28" i="2"/>
  <c r="P28" i="2"/>
  <c r="O28" i="2"/>
  <c r="N28" i="2"/>
  <c r="M28" i="2"/>
  <c r="L28" i="2"/>
  <c r="K28" i="2"/>
  <c r="J28" i="2"/>
  <c r="I28" i="2"/>
  <c r="H28" i="2"/>
  <c r="G28" i="2"/>
  <c r="F28" i="2"/>
  <c r="E28" i="2"/>
  <c r="D28" i="2"/>
  <c r="C28" i="2"/>
  <c r="Z27" i="2"/>
  <c r="Y27" i="2"/>
  <c r="X27" i="2"/>
  <c r="W27" i="2"/>
  <c r="V27" i="2"/>
  <c r="U27" i="2"/>
  <c r="T27" i="2"/>
  <c r="S27" i="2"/>
  <c r="R27" i="2"/>
  <c r="Q27" i="2"/>
  <c r="P27" i="2"/>
  <c r="O27" i="2"/>
  <c r="N27" i="2"/>
  <c r="M27" i="2"/>
  <c r="L27" i="2"/>
  <c r="K27" i="2"/>
  <c r="J27" i="2"/>
  <c r="I27" i="2"/>
  <c r="H27" i="2"/>
  <c r="G27" i="2"/>
  <c r="F27" i="2"/>
  <c r="E27" i="2"/>
  <c r="D27" i="2"/>
  <c r="C27" i="2"/>
  <c r="Z26" i="2"/>
  <c r="Y26" i="2"/>
  <c r="X26" i="2"/>
  <c r="W26" i="2"/>
  <c r="V26" i="2"/>
  <c r="U26" i="2"/>
  <c r="T26" i="2"/>
  <c r="S26" i="2"/>
  <c r="R26" i="2"/>
  <c r="Q26" i="2"/>
  <c r="P26" i="2"/>
  <c r="O26" i="2"/>
  <c r="N26" i="2"/>
  <c r="M26" i="2"/>
  <c r="L26" i="2"/>
  <c r="K26" i="2"/>
  <c r="J26" i="2"/>
  <c r="I26" i="2"/>
  <c r="H26" i="2"/>
  <c r="G26" i="2"/>
  <c r="F26" i="2"/>
  <c r="E26" i="2"/>
  <c r="D26" i="2"/>
  <c r="C26" i="2"/>
  <c r="Z25" i="2"/>
  <c r="Y25" i="2"/>
  <c r="X25" i="2"/>
  <c r="W25" i="2"/>
  <c r="V25" i="2"/>
  <c r="U25" i="2"/>
  <c r="T25" i="2"/>
  <c r="S25" i="2"/>
  <c r="R25" i="2"/>
  <c r="Q25" i="2"/>
  <c r="P25" i="2"/>
  <c r="O25" i="2"/>
  <c r="N25" i="2"/>
  <c r="M25" i="2"/>
  <c r="L25" i="2"/>
  <c r="K25" i="2"/>
  <c r="J25" i="2"/>
  <c r="I25" i="2"/>
  <c r="H25" i="2"/>
  <c r="G25" i="2"/>
  <c r="F25" i="2"/>
  <c r="E25" i="2"/>
  <c r="D25" i="2"/>
  <c r="C25" i="2"/>
  <c r="Z24" i="2"/>
  <c r="Y24" i="2"/>
  <c r="X24" i="2"/>
  <c r="W24" i="2"/>
  <c r="V24" i="2"/>
  <c r="U24" i="2"/>
  <c r="T24" i="2"/>
  <c r="S24" i="2"/>
  <c r="R24" i="2"/>
  <c r="Q24" i="2"/>
  <c r="P24" i="2"/>
  <c r="O24" i="2"/>
  <c r="N24" i="2"/>
  <c r="M24" i="2"/>
  <c r="L24" i="2"/>
  <c r="K24" i="2"/>
  <c r="J24" i="2"/>
  <c r="I24" i="2"/>
  <c r="H24" i="2"/>
  <c r="G24" i="2"/>
  <c r="F24" i="2"/>
  <c r="E24" i="2"/>
  <c r="D24" i="2"/>
  <c r="C24" i="2"/>
  <c r="Z23" i="2"/>
  <c r="Y23" i="2"/>
  <c r="X23" i="2"/>
  <c r="W23" i="2"/>
  <c r="V23" i="2"/>
  <c r="U23" i="2"/>
  <c r="T23" i="2"/>
  <c r="S23" i="2"/>
  <c r="R23" i="2"/>
  <c r="Q23" i="2"/>
  <c r="P23" i="2"/>
  <c r="O23" i="2"/>
  <c r="N23" i="2"/>
  <c r="M23" i="2"/>
  <c r="L23" i="2"/>
  <c r="K23" i="2"/>
  <c r="J23" i="2"/>
  <c r="I23" i="2"/>
  <c r="H23" i="2"/>
  <c r="G23" i="2"/>
  <c r="F23" i="2"/>
  <c r="E23" i="2"/>
  <c r="D23" i="2"/>
  <c r="C23" i="2"/>
  <c r="Z22" i="2"/>
  <c r="Y22" i="2"/>
  <c r="X22" i="2"/>
  <c r="W22" i="2"/>
  <c r="V22" i="2"/>
  <c r="U22" i="2"/>
  <c r="T22" i="2"/>
  <c r="S22" i="2"/>
  <c r="R22" i="2"/>
  <c r="Q22" i="2"/>
  <c r="P22" i="2"/>
  <c r="O22" i="2"/>
  <c r="N22" i="2"/>
  <c r="M22" i="2"/>
  <c r="L22" i="2"/>
  <c r="K22" i="2"/>
  <c r="J22" i="2"/>
  <c r="I22" i="2"/>
  <c r="H22" i="2"/>
  <c r="G22" i="2"/>
  <c r="F22" i="2"/>
  <c r="E22" i="2"/>
  <c r="D22" i="2"/>
  <c r="C22" i="2"/>
  <c r="Z21" i="2"/>
  <c r="Y21" i="2"/>
  <c r="X21" i="2"/>
  <c r="W21" i="2"/>
  <c r="V21" i="2"/>
  <c r="U21" i="2"/>
  <c r="T21" i="2"/>
  <c r="S21" i="2"/>
  <c r="R21" i="2"/>
  <c r="Q21" i="2"/>
  <c r="P21" i="2"/>
  <c r="O21" i="2"/>
  <c r="N21" i="2"/>
  <c r="M21" i="2"/>
  <c r="L21" i="2"/>
  <c r="K21" i="2"/>
  <c r="J21" i="2"/>
  <c r="I21" i="2"/>
  <c r="H21" i="2"/>
  <c r="G21" i="2"/>
  <c r="F21" i="2"/>
  <c r="E21" i="2"/>
  <c r="D21" i="2"/>
  <c r="C21" i="2"/>
  <c r="Z20" i="2"/>
  <c r="Y20" i="2"/>
  <c r="X20" i="2"/>
  <c r="W20" i="2"/>
  <c r="V20" i="2"/>
  <c r="U20" i="2"/>
  <c r="T20" i="2"/>
  <c r="S20" i="2"/>
  <c r="R20" i="2"/>
  <c r="Q20" i="2"/>
  <c r="P20" i="2"/>
  <c r="O20" i="2"/>
  <c r="N20" i="2"/>
  <c r="M20" i="2"/>
  <c r="L20" i="2"/>
  <c r="K20" i="2"/>
  <c r="J20" i="2"/>
  <c r="I20" i="2"/>
  <c r="H20" i="2"/>
  <c r="G20" i="2"/>
  <c r="F20" i="2"/>
  <c r="E20" i="2"/>
  <c r="D20" i="2"/>
  <c r="C20" i="2"/>
  <c r="Z19" i="2"/>
  <c r="Y19" i="2"/>
  <c r="X19" i="2"/>
  <c r="W19" i="2"/>
  <c r="V19" i="2"/>
  <c r="U19" i="2"/>
  <c r="T19" i="2"/>
  <c r="S19" i="2"/>
  <c r="R19" i="2"/>
  <c r="Q19" i="2"/>
  <c r="P19" i="2"/>
  <c r="O19" i="2"/>
  <c r="N19" i="2"/>
  <c r="M19" i="2"/>
  <c r="L19" i="2"/>
  <c r="K19" i="2"/>
  <c r="J19" i="2"/>
  <c r="I19" i="2"/>
  <c r="H19" i="2"/>
  <c r="G19" i="2"/>
  <c r="F19" i="2"/>
  <c r="E19" i="2"/>
  <c r="D19" i="2"/>
  <c r="C19" i="2"/>
  <c r="Z18" i="2"/>
  <c r="Y18" i="2"/>
  <c r="X18" i="2"/>
  <c r="W18" i="2"/>
  <c r="V18" i="2"/>
  <c r="U18" i="2"/>
  <c r="T18" i="2"/>
  <c r="S18" i="2"/>
  <c r="R18" i="2"/>
  <c r="Q18" i="2"/>
  <c r="P18" i="2"/>
  <c r="O18" i="2"/>
  <c r="N18" i="2"/>
  <c r="M18" i="2"/>
  <c r="L18" i="2"/>
  <c r="K18" i="2"/>
  <c r="J18" i="2"/>
  <c r="I18" i="2"/>
  <c r="H18" i="2"/>
  <c r="G18" i="2"/>
  <c r="F18" i="2"/>
  <c r="E18" i="2"/>
  <c r="D18" i="2"/>
  <c r="C18" i="2"/>
  <c r="Z17" i="2"/>
  <c r="Y17" i="2"/>
  <c r="X17" i="2"/>
  <c r="W17" i="2"/>
  <c r="V17" i="2"/>
  <c r="U17" i="2"/>
  <c r="T17" i="2"/>
  <c r="S17" i="2"/>
  <c r="R17" i="2"/>
  <c r="Q17" i="2"/>
  <c r="P17" i="2"/>
  <c r="O17" i="2"/>
  <c r="N17" i="2"/>
  <c r="M17" i="2"/>
  <c r="L17" i="2"/>
  <c r="K17" i="2"/>
  <c r="J17" i="2"/>
  <c r="I17" i="2"/>
  <c r="H17" i="2"/>
  <c r="G17" i="2"/>
  <c r="F17" i="2"/>
  <c r="E17" i="2"/>
  <c r="D17" i="2"/>
  <c r="C17" i="2"/>
  <c r="Z16" i="2"/>
  <c r="Y16" i="2"/>
  <c r="X16" i="2"/>
  <c r="W16" i="2"/>
  <c r="V16" i="2"/>
  <c r="U16" i="2"/>
  <c r="T16" i="2"/>
  <c r="S16" i="2"/>
  <c r="R16" i="2"/>
  <c r="Q16" i="2"/>
  <c r="P16" i="2"/>
  <c r="O16" i="2"/>
  <c r="N16" i="2"/>
  <c r="M16" i="2"/>
  <c r="L16" i="2"/>
  <c r="K16" i="2"/>
  <c r="J16" i="2"/>
  <c r="I16" i="2"/>
  <c r="H16" i="2"/>
  <c r="G16" i="2"/>
  <c r="F16" i="2"/>
  <c r="E16" i="2"/>
  <c r="D16" i="2"/>
  <c r="C16" i="2"/>
  <c r="Z15" i="2"/>
  <c r="Y15" i="2"/>
  <c r="X15" i="2"/>
  <c r="W15" i="2"/>
  <c r="V15" i="2"/>
  <c r="U15" i="2"/>
  <c r="T15" i="2"/>
  <c r="S15" i="2"/>
  <c r="R15" i="2"/>
  <c r="Q15" i="2"/>
  <c r="P15" i="2"/>
  <c r="O15" i="2"/>
  <c r="N15" i="2"/>
  <c r="M15" i="2"/>
  <c r="L15" i="2"/>
  <c r="K15" i="2"/>
  <c r="J15" i="2"/>
  <c r="I15" i="2"/>
  <c r="H15" i="2"/>
  <c r="G15" i="2"/>
  <c r="F15" i="2"/>
  <c r="E15" i="2"/>
  <c r="D15" i="2"/>
  <c r="C15" i="2"/>
  <c r="Z14" i="2"/>
  <c r="Y14" i="2"/>
  <c r="X14" i="2"/>
  <c r="W14" i="2"/>
  <c r="V14" i="2"/>
  <c r="U14" i="2"/>
  <c r="T14" i="2"/>
  <c r="S14" i="2"/>
  <c r="R14" i="2"/>
  <c r="Q14" i="2"/>
  <c r="P14" i="2"/>
  <c r="O14" i="2"/>
  <c r="N14" i="2"/>
  <c r="M14" i="2"/>
  <c r="L14" i="2"/>
  <c r="K14" i="2"/>
  <c r="J14" i="2"/>
  <c r="I14" i="2"/>
  <c r="H14" i="2"/>
  <c r="G14" i="2"/>
  <c r="F14" i="2"/>
  <c r="E14" i="2"/>
  <c r="D14" i="2"/>
  <c r="C14" i="2"/>
  <c r="Z13" i="2"/>
  <c r="Y13" i="2"/>
  <c r="X13" i="2"/>
  <c r="W13" i="2"/>
  <c r="V13" i="2"/>
  <c r="U13" i="2"/>
  <c r="T13" i="2"/>
  <c r="S13" i="2"/>
  <c r="R13" i="2"/>
  <c r="Q13" i="2"/>
  <c r="P13" i="2"/>
  <c r="O13" i="2"/>
  <c r="N13" i="2"/>
  <c r="M13" i="2"/>
  <c r="L13" i="2"/>
  <c r="K13" i="2"/>
  <c r="J13" i="2"/>
  <c r="I13" i="2"/>
  <c r="H13" i="2"/>
  <c r="G13" i="2"/>
  <c r="F13" i="2"/>
  <c r="E13" i="2"/>
  <c r="D13" i="2"/>
  <c r="C13" i="2"/>
  <c r="Z12" i="2"/>
  <c r="Y12" i="2"/>
  <c r="X12" i="2"/>
  <c r="W12" i="2"/>
  <c r="V12" i="2"/>
  <c r="U12" i="2"/>
  <c r="T12" i="2"/>
  <c r="S12" i="2"/>
  <c r="R12" i="2"/>
  <c r="Q12" i="2"/>
  <c r="P12" i="2"/>
  <c r="O12" i="2"/>
  <c r="N12" i="2"/>
  <c r="M12" i="2"/>
  <c r="L12" i="2"/>
  <c r="K12" i="2"/>
  <c r="J12" i="2"/>
  <c r="I12" i="2"/>
  <c r="H12" i="2"/>
  <c r="G12" i="2"/>
  <c r="F12" i="2"/>
  <c r="E12" i="2"/>
  <c r="D12" i="2"/>
  <c r="C12" i="2"/>
  <c r="Z11" i="2"/>
  <c r="Y11" i="2"/>
  <c r="X11" i="2"/>
  <c r="W11" i="2"/>
  <c r="V11" i="2"/>
  <c r="U11" i="2"/>
  <c r="T11" i="2"/>
  <c r="S11" i="2"/>
  <c r="R11" i="2"/>
  <c r="Q11" i="2"/>
  <c r="P11" i="2"/>
  <c r="O11" i="2"/>
  <c r="N11" i="2"/>
  <c r="M11" i="2"/>
  <c r="L11" i="2"/>
  <c r="K11" i="2"/>
  <c r="J11" i="2"/>
  <c r="I11" i="2"/>
  <c r="H11" i="2"/>
  <c r="G11" i="2"/>
  <c r="F11" i="2"/>
  <c r="E11" i="2"/>
  <c r="D11" i="2"/>
  <c r="C11" i="2"/>
  <c r="Z10" i="2"/>
  <c r="Y10" i="2"/>
  <c r="X10" i="2"/>
  <c r="W10" i="2"/>
  <c r="V10" i="2"/>
  <c r="U10" i="2"/>
  <c r="T10" i="2"/>
  <c r="S10" i="2"/>
  <c r="R10" i="2"/>
  <c r="Q10" i="2"/>
  <c r="P10" i="2"/>
  <c r="O10" i="2"/>
  <c r="N10" i="2"/>
  <c r="M10" i="2"/>
  <c r="L10" i="2"/>
  <c r="K10" i="2"/>
  <c r="J10" i="2"/>
  <c r="I10" i="2"/>
  <c r="H10" i="2"/>
  <c r="G10" i="2"/>
  <c r="F10" i="2"/>
  <c r="E10" i="2"/>
  <c r="D10" i="2"/>
  <c r="C10" i="2"/>
  <c r="Z9" i="2"/>
  <c r="Y9" i="2"/>
  <c r="X9" i="2"/>
  <c r="W9" i="2"/>
  <c r="V9" i="2"/>
  <c r="U9" i="2"/>
  <c r="T9" i="2"/>
  <c r="S9" i="2"/>
  <c r="R9" i="2"/>
  <c r="Q9" i="2"/>
  <c r="P9" i="2"/>
  <c r="O9" i="2"/>
  <c r="N9" i="2"/>
  <c r="M9" i="2"/>
  <c r="L9" i="2"/>
  <c r="K9" i="2"/>
  <c r="J9" i="2"/>
  <c r="I9" i="2"/>
  <c r="H9" i="2"/>
  <c r="G9" i="2"/>
  <c r="F9" i="2"/>
  <c r="E9" i="2"/>
  <c r="D9" i="2"/>
  <c r="C9" i="2"/>
  <c r="Z8" i="2"/>
  <c r="Y8" i="2"/>
  <c r="X8" i="2"/>
  <c r="W8" i="2"/>
  <c r="V8" i="2"/>
  <c r="U8" i="2"/>
  <c r="T8" i="2"/>
  <c r="S8" i="2"/>
  <c r="R8" i="2"/>
  <c r="Q8" i="2"/>
  <c r="P8" i="2"/>
  <c r="O8" i="2"/>
  <c r="N8" i="2"/>
  <c r="M8" i="2"/>
  <c r="L8" i="2"/>
  <c r="K8" i="2"/>
  <c r="J8" i="2"/>
  <c r="I8" i="2"/>
  <c r="H8" i="2"/>
  <c r="G8" i="2"/>
  <c r="F8" i="2"/>
  <c r="E8" i="2"/>
  <c r="D8" i="2"/>
  <c r="C8" i="2"/>
  <c r="Z7" i="2"/>
  <c r="Y7" i="2"/>
  <c r="X7" i="2"/>
  <c r="W7" i="2"/>
  <c r="V7" i="2"/>
  <c r="U7" i="2"/>
  <c r="T7" i="2"/>
  <c r="S7" i="2"/>
  <c r="R7" i="2"/>
  <c r="Q7" i="2"/>
  <c r="P7" i="2"/>
  <c r="O7" i="2"/>
  <c r="N7" i="2"/>
  <c r="M7" i="2"/>
  <c r="L7" i="2"/>
  <c r="K7" i="2"/>
  <c r="J7" i="2"/>
  <c r="I7" i="2"/>
  <c r="H7" i="2"/>
  <c r="G7" i="2"/>
  <c r="F7" i="2"/>
  <c r="E7" i="2"/>
  <c r="D7" i="2"/>
  <c r="C7" i="2"/>
  <c r="Z6" i="2"/>
  <c r="Y6" i="2"/>
  <c r="X6" i="2"/>
  <c r="W6" i="2"/>
  <c r="V6" i="2"/>
  <c r="U6" i="2"/>
  <c r="T6" i="2"/>
  <c r="S6" i="2"/>
  <c r="R6" i="2"/>
  <c r="Q6" i="2"/>
  <c r="P6" i="2"/>
  <c r="O6" i="2"/>
  <c r="N6" i="2"/>
  <c r="M6" i="2"/>
  <c r="L6" i="2"/>
  <c r="K6" i="2"/>
  <c r="J6" i="2"/>
  <c r="I6" i="2"/>
  <c r="H6" i="2"/>
  <c r="G6" i="2"/>
  <c r="F6" i="2"/>
  <c r="E6" i="2"/>
  <c r="D6" i="2"/>
  <c r="C6" i="2"/>
  <c r="Z5" i="2"/>
  <c r="Y5" i="2"/>
  <c r="X5" i="2"/>
  <c r="W5" i="2"/>
  <c r="V5" i="2"/>
  <c r="U5" i="2"/>
  <c r="T5" i="2"/>
  <c r="S5" i="2"/>
  <c r="R5" i="2"/>
  <c r="Q5" i="2"/>
  <c r="P5" i="2"/>
  <c r="O5" i="2"/>
  <c r="N5" i="2"/>
  <c r="M5" i="2"/>
  <c r="L5" i="2"/>
  <c r="K5" i="2"/>
  <c r="J5" i="2"/>
  <c r="I5" i="2"/>
  <c r="H5" i="2"/>
  <c r="G5" i="2"/>
  <c r="F5" i="2"/>
  <c r="E5" i="2"/>
  <c r="D5" i="2"/>
  <c r="C5" i="2"/>
  <c r="Z4" i="2"/>
  <c r="Y4" i="2"/>
  <c r="X4" i="2"/>
  <c r="W4" i="2"/>
  <c r="V4" i="2"/>
  <c r="U4" i="2"/>
  <c r="T4" i="2"/>
  <c r="S4" i="2"/>
  <c r="R4" i="2"/>
  <c r="Q4" i="2"/>
  <c r="P4" i="2"/>
  <c r="O4" i="2"/>
  <c r="N4" i="2"/>
  <c r="M4" i="2"/>
  <c r="L4" i="2"/>
  <c r="K4" i="2"/>
  <c r="J4" i="2"/>
  <c r="I4" i="2"/>
  <c r="H4" i="2"/>
  <c r="G4" i="2"/>
  <c r="F4" i="2"/>
  <c r="E4" i="2"/>
  <c r="D4" i="2"/>
  <c r="C4" i="2"/>
  <c r="Z3" i="2"/>
  <c r="Y3" i="2"/>
  <c r="X3" i="2"/>
  <c r="W3" i="2"/>
  <c r="V3" i="2"/>
  <c r="U3" i="2"/>
  <c r="T3" i="2"/>
  <c r="S3" i="2"/>
  <c r="R3" i="2"/>
  <c r="Q3" i="2"/>
  <c r="P3" i="2"/>
  <c r="O3" i="2"/>
  <c r="N3" i="2"/>
  <c r="M3" i="2"/>
  <c r="L3" i="2"/>
  <c r="K3" i="2"/>
  <c r="J3" i="2"/>
  <c r="I3" i="2"/>
  <c r="H3" i="2"/>
  <c r="G3" i="2"/>
  <c r="F3" i="2"/>
  <c r="E3" i="2"/>
  <c r="D3" i="2"/>
  <c r="C3" i="2"/>
  <c r="Z2" i="2"/>
  <c r="Y2" i="2"/>
  <c r="X2" i="2"/>
  <c r="W2" i="2"/>
  <c r="V2" i="2"/>
  <c r="U2" i="2"/>
  <c r="T2" i="2"/>
  <c r="S2" i="2"/>
  <c r="R2" i="2"/>
  <c r="Q2" i="2"/>
  <c r="P2" i="2"/>
  <c r="O2" i="2"/>
  <c r="N2" i="2"/>
  <c r="M2" i="2"/>
  <c r="L2" i="2"/>
  <c r="K2" i="2"/>
  <c r="J2" i="2"/>
  <c r="I2" i="2"/>
  <c r="H2" i="2"/>
  <c r="G2" i="2"/>
  <c r="F2" i="2"/>
  <c r="E2" i="2"/>
  <c r="D2" i="2"/>
  <c r="C2" i="2"/>
  <c r="B37" i="2"/>
  <c r="B36" i="2"/>
  <c r="B35" i="2"/>
  <c r="B34" i="2"/>
  <c r="B33" i="2"/>
  <c r="B32" i="2"/>
  <c r="B31" i="2"/>
  <c r="B30" i="2"/>
  <c r="B29" i="2"/>
  <c r="B28" i="2"/>
  <c r="B27" i="2"/>
  <c r="B26" i="2"/>
  <c r="B25" i="2"/>
  <c r="B24" i="2"/>
  <c r="B23" i="2"/>
  <c r="B22" i="2"/>
  <c r="B21" i="2"/>
  <c r="B20" i="2"/>
  <c r="B19" i="2"/>
  <c r="B18" i="2"/>
  <c r="B17" i="2"/>
  <c r="B16" i="2"/>
  <c r="B15" i="2"/>
  <c r="B14" i="2"/>
  <c r="B13" i="2"/>
  <c r="B12" i="2"/>
  <c r="B11" i="2"/>
  <c r="B10" i="2"/>
  <c r="B9" i="2"/>
  <c r="B8" i="2"/>
  <c r="B7" i="2"/>
  <c r="B6" i="2"/>
  <c r="B5" i="2"/>
  <c r="B4" i="2"/>
  <c r="B3" i="2"/>
  <c r="B2" i="2"/>
  <c r="A37" i="2"/>
  <c r="A36" i="2"/>
  <c r="A35" i="2"/>
  <c r="A34" i="2"/>
  <c r="A33" i="2"/>
  <c r="A32" i="2"/>
  <c r="A31" i="2"/>
  <c r="A30" i="2"/>
  <c r="A29" i="2"/>
  <c r="A28" i="2"/>
  <c r="A27" i="2"/>
  <c r="A26" i="2"/>
  <c r="A25" i="2"/>
  <c r="A24" i="2"/>
  <c r="A23" i="2"/>
  <c r="A22" i="2"/>
  <c r="A21" i="2"/>
  <c r="A20" i="2"/>
  <c r="A19" i="2"/>
  <c r="A18" i="2"/>
  <c r="A17" i="2"/>
  <c r="A16" i="2"/>
  <c r="A15" i="2"/>
  <c r="A14" i="2"/>
  <c r="A13" i="2"/>
  <c r="A12" i="2"/>
  <c r="A11" i="2"/>
  <c r="A10" i="2"/>
  <c r="A9" i="2"/>
  <c r="A8" i="2"/>
  <c r="A7" i="2"/>
  <c r="A6" i="2"/>
  <c r="A5" i="2"/>
  <c r="A4" i="2"/>
  <c r="A3" i="2"/>
  <c r="A2" i="2"/>
</calcChain>
</file>

<file path=xl/sharedStrings.xml><?xml version="1.0" encoding="utf-8"?>
<sst xmlns="http://schemas.openxmlformats.org/spreadsheetml/2006/main" count="126" uniqueCount="63">
  <si>
    <t>Personal Pronouns</t>
  </si>
  <si>
    <t>Demonstrative Pronouns</t>
  </si>
  <si>
    <t>Quidam</t>
  </si>
  <si>
    <t>Reflexive Pronouns</t>
  </si>
  <si>
    <t>Iste</t>
  </si>
  <si>
    <t>Alius</t>
  </si>
  <si>
    <t>Ipse</t>
  </si>
  <si>
    <t>Idem</t>
  </si>
  <si>
    <t>Priusquam</t>
  </si>
  <si>
    <t>Antequam</t>
  </si>
  <si>
    <t>Quominus</t>
  </si>
  <si>
    <t>Dum</t>
  </si>
  <si>
    <t>Quin</t>
  </si>
  <si>
    <t>Ut</t>
  </si>
  <si>
    <t>Conditionals</t>
  </si>
  <si>
    <t>Prepositions</t>
  </si>
  <si>
    <t>Interrogative Sentences</t>
  </si>
  <si>
    <t>Superlatives</t>
  </si>
  <si>
    <t>Atque + consonant</t>
  </si>
  <si>
    <t>Relative Clauses</t>
  </si>
  <si>
    <t>Mean Length Relative Clauses</t>
  </si>
  <si>
    <t>Gerunds and Gerundives</t>
  </si>
  <si>
    <t>Cum</t>
  </si>
  <si>
    <t>Conjunctions</t>
  </si>
  <si>
    <t>Vocatives</t>
  </si>
  <si>
    <t>Mean Sentence Length</t>
  </si>
  <si>
    <t>Corpus Name</t>
  </si>
  <si>
    <t>Plautus Aulularia</t>
  </si>
  <si>
    <t>Plautus Bacchides</t>
  </si>
  <si>
    <t>Plautus Captivi</t>
  </si>
  <si>
    <t>Plautus Casina</t>
  </si>
  <si>
    <t>Plautus Cistellaria</t>
  </si>
  <si>
    <t>Plautus Curculio</t>
  </si>
  <si>
    <t>Plautus Epidicus</t>
  </si>
  <si>
    <t>Plautus Menaechmi</t>
  </si>
  <si>
    <t>Plautus Mercator</t>
  </si>
  <si>
    <t>Plautus Miles Gloriosus</t>
  </si>
  <si>
    <t>Plautus Mostellaria</t>
  </si>
  <si>
    <t>Plautus Persa</t>
  </si>
  <si>
    <t>Plautus Poenulus</t>
  </si>
  <si>
    <t>Plautus Pseudolus</t>
  </si>
  <si>
    <t>Plautus Rudens</t>
  </si>
  <si>
    <t>Plautus Stichus</t>
  </si>
  <si>
    <t>Plautus Trinummus</t>
  </si>
  <si>
    <t>Plautus Truculentus</t>
  </si>
  <si>
    <t>Seneca Agamemnon</t>
  </si>
  <si>
    <t>Seneca Hercules Furens</t>
  </si>
  <si>
    <t>Seneca Hercules Oetaeus</t>
  </si>
  <si>
    <t>Seneca Medea</t>
  </si>
  <si>
    <t>Seneca Octavia</t>
  </si>
  <si>
    <t>Seneca Oedipus</t>
  </si>
  <si>
    <t>Seneca Phaedra</t>
  </si>
  <si>
    <t>Seneca Phoenissae</t>
  </si>
  <si>
    <t>Seneca Thyestes</t>
  </si>
  <si>
    <t>Seneca Troades</t>
  </si>
  <si>
    <t>Terence Adelphi</t>
  </si>
  <si>
    <t>Terence Andria</t>
  </si>
  <si>
    <t>Terence Eunuchus</t>
  </si>
  <si>
    <t>Terence Heautontimorumenos</t>
  </si>
  <si>
    <t>Terence Hecyra</t>
  </si>
  <si>
    <t>Terence Phormio</t>
  </si>
  <si>
    <t>Plautus Amphitruo'</t>
  </si>
  <si>
    <t>Plautus Asinaria'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</si>
</sst>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0" borderId="0" xfId="0" quotePrefix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37"/>
  <sheetViews>
    <sheetView tabSelected="1" topLeftCell="P1" workbookViewId="0">
      <selection activeCell="U13" sqref="U13"/>
    </sheetView>
  </sheetViews>
  <sheetFormatPr baseColWidth="10" defaultRowHeight="16" x14ac:dyDescent="0.2"/>
  <sheetData>
    <row r="1" spans="1:27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">
      <c r="A2">
        <f>(stylometry_data_drama!A2 - MIN(stylometry_data_drama!A$2:A$37))/(MAX(stylometry_data_drama!A$2:A$37) - MIN(stylometry_data_drama!A$2:A$37))</f>
        <v>0.76299797434166106</v>
      </c>
      <c r="B2">
        <f>(stylometry_data_drama!B2 - MIN(stylometry_data_drama!B$2:B$37))/(MAX(stylometry_data_drama!B$2:B$37) - MIN(stylometry_data_drama!B$2:B$37))</f>
        <v>0.63492063492063489</v>
      </c>
      <c r="C2">
        <f>(stylometry_data_drama!C2 - MIN(stylometry_data_drama!C$2:C$37))/(MAX(stylometry_data_drama!C$2:C$37) - MIN(stylometry_data_drama!C$2:C$37))</f>
        <v>8.8888888888888892E-2</v>
      </c>
      <c r="D2">
        <f>(stylometry_data_drama!D2 - MIN(stylometry_data_drama!D$2:D$37))/(MAX(stylometry_data_drama!D$2:D$37) - MIN(stylometry_data_drama!D$2:D$37))</f>
        <v>0.66019417475728148</v>
      </c>
      <c r="E2">
        <f>(stylometry_data_drama!E2 - MIN(stylometry_data_drama!E$2:E$37))/(MAX(stylometry_data_drama!E$2:E$37) - MIN(stylometry_data_drama!E$2:E$37))</f>
        <v>0.25</v>
      </c>
      <c r="F2">
        <f>(stylometry_data_drama!F2 - MIN(stylometry_data_drama!F$2:F$37))/(MAX(stylometry_data_drama!F$2:F$37) - MIN(stylometry_data_drama!F$2:F$37))</f>
        <v>0.40625000000000011</v>
      </c>
      <c r="G2">
        <f>(stylometry_data_drama!G2 - MIN(stylometry_data_drama!G$2:G$37))/(MAX(stylometry_data_drama!G$2:G$37) - MIN(stylometry_data_drama!G$2:G$37))</f>
        <v>0.10989010989010989</v>
      </c>
      <c r="H2">
        <f>(stylometry_data_drama!H2 - MIN(stylometry_data_drama!H$2:H$37))/(MAX(stylometry_data_drama!H$2:H$37) - MIN(stylometry_data_drama!H$2:H$37))</f>
        <v>0.65454545454545454</v>
      </c>
      <c r="I2">
        <f>(stylometry_data_drama!I2 - MIN(stylometry_data_drama!I$2:I$37))/(MAX(stylometry_data_drama!I$2:I$37) - MIN(stylometry_data_drama!I$2:I$37))</f>
        <v>0.375</v>
      </c>
      <c r="J2">
        <f>(stylometry_data_drama!J2 - MIN(stylometry_data_drama!J$2:J$37))/(MAX(stylometry_data_drama!J$2:J$37) - MIN(stylometry_data_drama!J$2:J$37))</f>
        <v>0</v>
      </c>
      <c r="K2">
        <f>(stylometry_data_drama!K2 - MIN(stylometry_data_drama!K$2:K$37))/(MAX(stylometry_data_drama!K$2:K$37) - MIN(stylometry_data_drama!K$2:K$37))</f>
        <v>0</v>
      </c>
      <c r="L2">
        <f>(stylometry_data_drama!L2 - MIN(stylometry_data_drama!L$2:L$37))/(MAX(stylometry_data_drama!L$2:L$37) - MIN(stylometry_data_drama!L$2:L$37))</f>
        <v>0.25806451612903231</v>
      </c>
      <c r="M2">
        <f>(stylometry_data_drama!M2 - MIN(stylometry_data_drama!M$2:M$37))/(MAX(stylometry_data_drama!M$2:M$37) - MIN(stylometry_data_drama!M$2:M$37))</f>
        <v>0.44117647058823523</v>
      </c>
      <c r="N2">
        <f>(stylometry_data_drama!N2 - MIN(stylometry_data_drama!N$2:N$37))/(MAX(stylometry_data_drama!N$2:N$37) - MIN(stylometry_data_drama!N$2:N$37))</f>
        <v>0.81355932203389836</v>
      </c>
      <c r="O2">
        <f>(stylometry_data_drama!O2 - MIN(stylometry_data_drama!O$2:O$37))/(MAX(stylometry_data_drama!O$2:O$37) - MIN(stylometry_data_drama!O$2:O$37))</f>
        <v>0.69117647058823539</v>
      </c>
      <c r="P2">
        <f>(stylometry_data_drama!P2 - MIN(stylometry_data_drama!P$2:P$37))/(MAX(stylometry_data_drama!P$2:P$37) - MIN(stylometry_data_drama!P$2:P$37))</f>
        <v>0.52439024390243905</v>
      </c>
      <c r="Q2">
        <f>(stylometry_data_drama!Q2 - MIN(stylometry_data_drama!Q$2:Q$37))/(MAX(stylometry_data_drama!Q$2:Q$37) - MIN(stylometry_data_drama!Q$2:Q$37))</f>
        <v>0.40672074159907301</v>
      </c>
      <c r="R2">
        <f>(stylometry_data_drama!R2 - MIN(stylometry_data_drama!R$2:R$37))/(MAX(stylometry_data_drama!R$2:R$37) - MIN(stylometry_data_drama!R$2:R$37))</f>
        <v>0.13333333333333333</v>
      </c>
      <c r="S2">
        <f>(stylometry_data_drama!S2 - MIN(stylometry_data_drama!S$2:S$37))/(MAX(stylometry_data_drama!S$2:S$37) - MIN(stylometry_data_drama!S$2:S$37))</f>
        <v>0.24</v>
      </c>
      <c r="T2">
        <f>(stylometry_data_drama!T2 - MIN(stylometry_data_drama!T$2:T$37))/(MAX(stylometry_data_drama!T$2:T$37) - MIN(stylometry_data_drama!T$2:T$37))</f>
        <v>0.52682705858667211</v>
      </c>
      <c r="U2">
        <f>(stylometry_data_drama!U2 - MIN(stylometry_data_drama!U$2:U$37))/(MAX(stylometry_data_drama!U$2:U$37) - MIN(stylometry_data_drama!U$2:U$37))</f>
        <v>0.25425756567324842</v>
      </c>
      <c r="V2">
        <f>(stylometry_data_drama!V2 - MIN(stylometry_data_drama!V$2:V$37))/(MAX(stylometry_data_drama!V$2:V$37) - MIN(stylometry_data_drama!V$2:V$37))</f>
        <v>0.2857142857142857</v>
      </c>
      <c r="W2">
        <f>(stylometry_data_drama!W2 - MIN(stylometry_data_drama!W$2:W$37))/(MAX(stylometry_data_drama!W$2:W$37) - MIN(stylometry_data_drama!W$2:W$37))</f>
        <v>0.58974358974358976</v>
      </c>
      <c r="X2">
        <f>(stylometry_data_drama!X2 - MIN(stylometry_data_drama!X$2:X$37))/(MAX(stylometry_data_drama!X$2:X$37) - MIN(stylometry_data_drama!X$2:X$37))</f>
        <v>0.66555183946488317</v>
      </c>
      <c r="Y2">
        <f>(stylometry_data_drama!Y2 - MIN(stylometry_data_drama!Y$2:Y$37))/(MAX(stylometry_data_drama!Y$2:Y$37) - MIN(stylometry_data_drama!Y$2:Y$37))</f>
        <v>0</v>
      </c>
      <c r="Z2">
        <f>(stylometry_data_drama!Z2 - MIN(stylometry_data_drama!Z$2:Z$37))/(MAX(stylometry_data_drama!Z$2:Z$37) - MIN(stylometry_data_drama!Z$2:Z$37))</f>
        <v>0.232915478860131</v>
      </c>
      <c r="AA2" s="1" t="s">
        <v>61</v>
      </c>
    </row>
    <row r="3" spans="1:27" x14ac:dyDescent="0.2">
      <c r="A3">
        <f>(stylometry_data_drama!A3 - MIN(stylometry_data_drama!A$2:A$37))/(MAX(stylometry_data_drama!A$2:A$37) - MIN(stylometry_data_drama!A$2:A$37))</f>
        <v>0.79945982444294406</v>
      </c>
      <c r="B3">
        <f>(stylometry_data_drama!B3 - MIN(stylometry_data_drama!B$2:B$37))/(MAX(stylometry_data_drama!B$2:B$37) - MIN(stylometry_data_drama!B$2:B$37))</f>
        <v>0.52821869488536166</v>
      </c>
      <c r="C3">
        <f>(stylometry_data_drama!C3 - MIN(stylometry_data_drama!C$2:C$37))/(MAX(stylometry_data_drama!C$2:C$37) - MIN(stylometry_data_drama!C$2:C$37))</f>
        <v>0</v>
      </c>
      <c r="D3">
        <f>(stylometry_data_drama!D3 - MIN(stylometry_data_drama!D$2:D$37))/(MAX(stylometry_data_drama!D$2:D$37) - MIN(stylometry_data_drama!D$2:D$37))</f>
        <v>0.68932038834951437</v>
      </c>
      <c r="E3">
        <f>(stylometry_data_drama!E3 - MIN(stylometry_data_drama!E$2:E$37))/(MAX(stylometry_data_drama!E$2:E$37) - MIN(stylometry_data_drama!E$2:E$37))</f>
        <v>0.57499999999999996</v>
      </c>
      <c r="F3">
        <f>(stylometry_data_drama!F3 - MIN(stylometry_data_drama!F$2:F$37))/(MAX(stylometry_data_drama!F$2:F$37) - MIN(stylometry_data_drama!F$2:F$37))</f>
        <v>0.609375</v>
      </c>
      <c r="G3">
        <f>(stylometry_data_drama!G3 - MIN(stylometry_data_drama!G$2:G$37))/(MAX(stylometry_data_drama!G$2:G$37) - MIN(stylometry_data_drama!G$2:G$37))</f>
        <v>0.38461538461538464</v>
      </c>
      <c r="H3">
        <f>(stylometry_data_drama!H3 - MIN(stylometry_data_drama!H$2:H$37))/(MAX(stylometry_data_drama!H$2:H$37) - MIN(stylometry_data_drama!H$2:H$37))</f>
        <v>0.61818181818181817</v>
      </c>
      <c r="I3">
        <f>(stylometry_data_drama!I3 - MIN(stylometry_data_drama!I$2:I$37))/(MAX(stylometry_data_drama!I$2:I$37) - MIN(stylometry_data_drama!I$2:I$37))</f>
        <v>0.625</v>
      </c>
      <c r="J3">
        <f>(stylometry_data_drama!J3 - MIN(stylometry_data_drama!J$2:J$37))/(MAX(stylometry_data_drama!J$2:J$37) - MIN(stylometry_data_drama!J$2:J$37))</f>
        <v>0</v>
      </c>
      <c r="K3">
        <f>(stylometry_data_drama!K3 - MIN(stylometry_data_drama!K$2:K$37))/(MAX(stylometry_data_drama!K$2:K$37) - MIN(stylometry_data_drama!K$2:K$37))</f>
        <v>0</v>
      </c>
      <c r="L3">
        <f>(stylometry_data_drama!L3 - MIN(stylometry_data_drama!L$2:L$37))/(MAX(stylometry_data_drama!L$2:L$37) - MIN(stylometry_data_drama!L$2:L$37))</f>
        <v>0.35483870967741937</v>
      </c>
      <c r="M3">
        <f>(stylometry_data_drama!M3 - MIN(stylometry_data_drama!M$2:M$37))/(MAX(stylometry_data_drama!M$2:M$37) - MIN(stylometry_data_drama!M$2:M$37))</f>
        <v>0.58823529411764697</v>
      </c>
      <c r="N3">
        <f>(stylometry_data_drama!N3 - MIN(stylometry_data_drama!N$2:N$37))/(MAX(stylometry_data_drama!N$2:N$37) - MIN(stylometry_data_drama!N$2:N$37))</f>
        <v>0.71864406779661016</v>
      </c>
      <c r="O3">
        <f>(stylometry_data_drama!O3 - MIN(stylometry_data_drama!O$2:O$37))/(MAX(stylometry_data_drama!O$2:O$37) - MIN(stylometry_data_drama!O$2:O$37))</f>
        <v>1</v>
      </c>
      <c r="P3">
        <f>(stylometry_data_drama!P3 - MIN(stylometry_data_drama!P$2:P$37))/(MAX(stylometry_data_drama!P$2:P$37) - MIN(stylometry_data_drama!P$2:P$37))</f>
        <v>0.48780487804878037</v>
      </c>
      <c r="Q3">
        <f>(stylometry_data_drama!Q3 - MIN(stylometry_data_drama!Q$2:Q$37))/(MAX(stylometry_data_drama!Q$2:Q$37) - MIN(stylometry_data_drama!Q$2:Q$37))</f>
        <v>0.42641946697566629</v>
      </c>
      <c r="R3">
        <f>(stylometry_data_drama!R3 - MIN(stylometry_data_drama!R$2:R$37))/(MAX(stylometry_data_drama!R$2:R$37) - MIN(stylometry_data_drama!R$2:R$37))</f>
        <v>0.4</v>
      </c>
      <c r="S3">
        <f>(stylometry_data_drama!S3 - MIN(stylometry_data_drama!S$2:S$37))/(MAX(stylometry_data_drama!S$2:S$37) - MIN(stylometry_data_drama!S$2:S$37))</f>
        <v>0.32</v>
      </c>
      <c r="T3">
        <f>(stylometry_data_drama!T3 - MIN(stylometry_data_drama!T$2:T$37))/(MAX(stylometry_data_drama!T$2:T$37) - MIN(stylometry_data_drama!T$2:T$37))</f>
        <v>0.41836118381316689</v>
      </c>
      <c r="U3">
        <f>(stylometry_data_drama!U3 - MIN(stylometry_data_drama!U$2:U$37))/(MAX(stylometry_data_drama!U$2:U$37) - MIN(stylometry_data_drama!U$2:U$37))</f>
        <v>5.8457476383376845E-2</v>
      </c>
      <c r="V3">
        <f>(stylometry_data_drama!V3 - MIN(stylometry_data_drama!V$2:V$37))/(MAX(stylometry_data_drama!V$2:V$37) - MIN(stylometry_data_drama!V$2:V$37))</f>
        <v>0.4285714285714286</v>
      </c>
      <c r="W3">
        <f>(stylometry_data_drama!W3 - MIN(stylometry_data_drama!W$2:W$37))/(MAX(stylometry_data_drama!W$2:W$37) - MIN(stylometry_data_drama!W$2:W$37))</f>
        <v>0.92307692307692302</v>
      </c>
      <c r="X3">
        <f>(stylometry_data_drama!X3 - MIN(stylometry_data_drama!X$2:X$37))/(MAX(stylometry_data_drama!X$2:X$37) - MIN(stylometry_data_drama!X$2:X$37))</f>
        <v>1.0033444816053684E-2</v>
      </c>
      <c r="Y3">
        <f>(stylometry_data_drama!Y3 - MIN(stylometry_data_drama!Y$2:Y$37))/(MAX(stylometry_data_drama!Y$2:Y$37) - MIN(stylometry_data_drama!Y$2:Y$37))</f>
        <v>0.23255813953488375</v>
      </c>
      <c r="Z3">
        <f>(stylometry_data_drama!Z3 - MIN(stylometry_data_drama!Z$2:Z$37))/(MAX(stylometry_data_drama!Z$2:Z$37) - MIN(stylometry_data_drama!Z$2:Z$37))</f>
        <v>0.14963301892232589</v>
      </c>
      <c r="AA3" s="1" t="s">
        <v>62</v>
      </c>
    </row>
    <row r="4" spans="1:27" x14ac:dyDescent="0.2">
      <c r="A4">
        <f>(stylometry_data_drama!A4 - MIN(stylometry_data_drama!A$2:A$37))/(MAX(stylometry_data_drama!A$2:A$37) - MIN(stylometry_data_drama!A$2:A$37))</f>
        <v>0.92437542201215395</v>
      </c>
      <c r="B4">
        <f>(stylometry_data_drama!B4 - MIN(stylometry_data_drama!B$2:B$37))/(MAX(stylometry_data_drama!B$2:B$37) - MIN(stylometry_data_drama!B$2:B$37))</f>
        <v>0.61816578483245155</v>
      </c>
      <c r="C4">
        <f>(stylometry_data_drama!C4 - MIN(stylometry_data_drama!C$2:C$37))/(MAX(stylometry_data_drama!C$2:C$37) - MIN(stylometry_data_drama!C$2:C$37))</f>
        <v>0</v>
      </c>
      <c r="D4">
        <f>(stylometry_data_drama!D4 - MIN(stylometry_data_drama!D$2:D$37))/(MAX(stylometry_data_drama!D$2:D$37) - MIN(stylometry_data_drama!D$2:D$37))</f>
        <v>0.43689320388349512</v>
      </c>
      <c r="E4">
        <f>(stylometry_data_drama!E4 - MIN(stylometry_data_drama!E$2:E$37))/(MAX(stylometry_data_drama!E$2:E$37) - MIN(stylometry_data_drama!E$2:E$37))</f>
        <v>0.3</v>
      </c>
      <c r="F4">
        <f>(stylometry_data_drama!F4 - MIN(stylometry_data_drama!F$2:F$37))/(MAX(stylometry_data_drama!F$2:F$37) - MIN(stylometry_data_drama!F$2:F$37))</f>
        <v>0.28125</v>
      </c>
      <c r="G4">
        <f>(stylometry_data_drama!G4 - MIN(stylometry_data_drama!G$2:G$37))/(MAX(stylometry_data_drama!G$2:G$37) - MIN(stylometry_data_drama!G$2:G$37))</f>
        <v>3.2967032967032961E-2</v>
      </c>
      <c r="H4">
        <f>(stylometry_data_drama!H4 - MIN(stylometry_data_drama!H$2:H$37))/(MAX(stylometry_data_drama!H$2:H$37) - MIN(stylometry_data_drama!H$2:H$37))</f>
        <v>0.34545454545454546</v>
      </c>
      <c r="I4">
        <f>(stylometry_data_drama!I4 - MIN(stylometry_data_drama!I$2:I$37))/(MAX(stylometry_data_drama!I$2:I$37) - MIN(stylometry_data_drama!I$2:I$37))</f>
        <v>0.75</v>
      </c>
      <c r="J4">
        <f>(stylometry_data_drama!J4 - MIN(stylometry_data_drama!J$2:J$37))/(MAX(stylometry_data_drama!J$2:J$37) - MIN(stylometry_data_drama!J$2:J$37))</f>
        <v>0</v>
      </c>
      <c r="K4">
        <f>(stylometry_data_drama!K4 - MIN(stylometry_data_drama!K$2:K$37))/(MAX(stylometry_data_drama!K$2:K$37) - MIN(stylometry_data_drama!K$2:K$37))</f>
        <v>0</v>
      </c>
      <c r="L4">
        <f>(stylometry_data_drama!L4 - MIN(stylometry_data_drama!L$2:L$37))/(MAX(stylometry_data_drama!L$2:L$37) - MIN(stylometry_data_drama!L$2:L$37))</f>
        <v>8.0645161290322592E-2</v>
      </c>
      <c r="M4">
        <f>(stylometry_data_drama!M4 - MIN(stylometry_data_drama!M$2:M$37))/(MAX(stylometry_data_drama!M$2:M$37) - MIN(stylometry_data_drama!M$2:M$37))</f>
        <v>0.54901960784313719</v>
      </c>
      <c r="N4">
        <f>(stylometry_data_drama!N4 - MIN(stylometry_data_drama!N$2:N$37))/(MAX(stylometry_data_drama!N$2:N$37) - MIN(stylometry_data_drama!N$2:N$37))</f>
        <v>0.73559322033898311</v>
      </c>
      <c r="O4">
        <f>(stylometry_data_drama!O4 - MIN(stylometry_data_drama!O$2:O$37))/(MAX(stylometry_data_drama!O$2:O$37) - MIN(stylometry_data_drama!O$2:O$37))</f>
        <v>0.81250000000000011</v>
      </c>
      <c r="P4">
        <f>(stylometry_data_drama!P4 - MIN(stylometry_data_drama!P$2:P$37))/(MAX(stylometry_data_drama!P$2:P$37) - MIN(stylometry_data_drama!P$2:P$37))</f>
        <v>0.53252032520325199</v>
      </c>
      <c r="Q4">
        <f>(stylometry_data_drama!Q4 - MIN(stylometry_data_drama!Q$2:Q$37))/(MAX(stylometry_data_drama!Q$2:Q$37) - MIN(stylometry_data_drama!Q$2:Q$37))</f>
        <v>0.38006952491309381</v>
      </c>
      <c r="R4">
        <f>(stylometry_data_drama!R4 - MIN(stylometry_data_drama!R$2:R$37))/(MAX(stylometry_data_drama!R$2:R$37) - MIN(stylometry_data_drama!R$2:R$37))</f>
        <v>0.33333333333333331</v>
      </c>
      <c r="S4">
        <f>(stylometry_data_drama!S4 - MIN(stylometry_data_drama!S$2:S$37))/(MAX(stylometry_data_drama!S$2:S$37) - MIN(stylometry_data_drama!S$2:S$37))</f>
        <v>0.36000000000000004</v>
      </c>
      <c r="T4">
        <f>(stylometry_data_drama!T4 - MIN(stylometry_data_drama!T$2:T$37))/(MAX(stylometry_data_drama!T$2:T$37) - MIN(stylometry_data_drama!T$2:T$37))</f>
        <v>0.42092812562915244</v>
      </c>
      <c r="U4">
        <f>(stylometry_data_drama!U4 - MIN(stylometry_data_drama!U$2:U$37))/(MAX(stylometry_data_drama!U$2:U$37) - MIN(stylometry_data_drama!U$2:U$37))</f>
        <v>0.23913470993117011</v>
      </c>
      <c r="V4">
        <f>(stylometry_data_drama!V4 - MIN(stylometry_data_drama!V$2:V$37))/(MAX(stylometry_data_drama!V$2:V$37) - MIN(stylometry_data_drama!V$2:V$37))</f>
        <v>0.18571428571428575</v>
      </c>
      <c r="W4">
        <f>(stylometry_data_drama!W4 - MIN(stylometry_data_drama!W$2:W$37))/(MAX(stylometry_data_drama!W$2:W$37) - MIN(stylometry_data_drama!W$2:W$37))</f>
        <v>0.5641025641025641</v>
      </c>
      <c r="X4">
        <f>(stylometry_data_drama!X4 - MIN(stylometry_data_drama!X$2:X$37))/(MAX(stylometry_data_drama!X$2:X$37) - MIN(stylometry_data_drama!X$2:X$37))</f>
        <v>0.54515050167224066</v>
      </c>
      <c r="Y4">
        <f>(stylometry_data_drama!Y4 - MIN(stylometry_data_drama!Y$2:Y$37))/(MAX(stylometry_data_drama!Y$2:Y$37) - MIN(stylometry_data_drama!Y$2:Y$37))</f>
        <v>0.20930232558139536</v>
      </c>
      <c r="Z4">
        <f>(stylometry_data_drama!Z4 - MIN(stylometry_data_drama!Z$2:Z$37))/(MAX(stylometry_data_drama!Z$2:Z$37) - MIN(stylometry_data_drama!Z$2:Z$37))</f>
        <v>0.15380361720312186</v>
      </c>
      <c r="AA4" t="s">
        <v>27</v>
      </c>
    </row>
    <row r="5" spans="1:27" x14ac:dyDescent="0.2">
      <c r="A5">
        <f>(stylometry_data_drama!A5 - MIN(stylometry_data_drama!A$2:A$37))/(MAX(stylometry_data_drama!A$2:A$37) - MIN(stylometry_data_drama!A$2:A$37))</f>
        <v>0.75489534098582045</v>
      </c>
      <c r="B5">
        <f>(stylometry_data_drama!B5 - MIN(stylometry_data_drama!B$2:B$37))/(MAX(stylometry_data_drama!B$2:B$37) - MIN(stylometry_data_drama!B$2:B$37))</f>
        <v>0.72398589065255736</v>
      </c>
      <c r="C5">
        <f>(stylometry_data_drama!C5 - MIN(stylometry_data_drama!C$2:C$37))/(MAX(stylometry_data_drama!C$2:C$37) - MIN(stylometry_data_drama!C$2:C$37))</f>
        <v>4.4444444444444446E-2</v>
      </c>
      <c r="D5">
        <f>(stylometry_data_drama!D5 - MIN(stylometry_data_drama!D$2:D$37))/(MAX(stylometry_data_drama!D$2:D$37) - MIN(stylometry_data_drama!D$2:D$37))</f>
        <v>0.46601941747572811</v>
      </c>
      <c r="E5">
        <f>(stylometry_data_drama!E5 - MIN(stylometry_data_drama!E$2:E$37))/(MAX(stylometry_data_drama!E$2:E$37) - MIN(stylometry_data_drama!E$2:E$37))</f>
        <v>0.16249999999999998</v>
      </c>
      <c r="F5">
        <f>(stylometry_data_drama!F5 - MIN(stylometry_data_drama!F$2:F$37))/(MAX(stylometry_data_drama!F$2:F$37) - MIN(stylometry_data_drama!F$2:F$37))</f>
        <v>0.26562500000000006</v>
      </c>
      <c r="G5">
        <f>(stylometry_data_drama!G5 - MIN(stylometry_data_drama!G$2:G$37))/(MAX(stylometry_data_drama!G$2:G$37) - MIN(stylometry_data_drama!G$2:G$37))</f>
        <v>0.13186813186813187</v>
      </c>
      <c r="H5">
        <f>(stylometry_data_drama!H5 - MIN(stylometry_data_drama!H$2:H$37))/(MAX(stylometry_data_drama!H$2:H$37) - MIN(stylometry_data_drama!H$2:H$37))</f>
        <v>0.45454545454545453</v>
      </c>
      <c r="I5">
        <f>(stylometry_data_drama!I5 - MIN(stylometry_data_drama!I$2:I$37))/(MAX(stylometry_data_drama!I$2:I$37) - MIN(stylometry_data_drama!I$2:I$37))</f>
        <v>0.625</v>
      </c>
      <c r="J5">
        <f>(stylometry_data_drama!J5 - MIN(stylometry_data_drama!J$2:J$37))/(MAX(stylometry_data_drama!J$2:J$37) - MIN(stylometry_data_drama!J$2:J$37))</f>
        <v>0</v>
      </c>
      <c r="K5">
        <f>(stylometry_data_drama!K5 - MIN(stylometry_data_drama!K$2:K$37))/(MAX(stylometry_data_drama!K$2:K$37) - MIN(stylometry_data_drama!K$2:K$37))</f>
        <v>0</v>
      </c>
      <c r="L5">
        <f>(stylometry_data_drama!L5 - MIN(stylometry_data_drama!L$2:L$37))/(MAX(stylometry_data_drama!L$2:L$37) - MIN(stylometry_data_drama!L$2:L$37))</f>
        <v>0.41935483870967749</v>
      </c>
      <c r="M5">
        <f>(stylometry_data_drama!M5 - MIN(stylometry_data_drama!M$2:M$37))/(MAX(stylometry_data_drama!M$2:M$37) - MIN(stylometry_data_drama!M$2:M$37))</f>
        <v>0.30392156862745096</v>
      </c>
      <c r="N5">
        <f>(stylometry_data_drama!N5 - MIN(stylometry_data_drama!N$2:N$37))/(MAX(stylometry_data_drama!N$2:N$37) - MIN(stylometry_data_drama!N$2:N$37))</f>
        <v>0.83728813559322035</v>
      </c>
      <c r="O5">
        <f>(stylometry_data_drama!O5 - MIN(stylometry_data_drama!O$2:O$37))/(MAX(stylometry_data_drama!O$2:O$37) - MIN(stylometry_data_drama!O$2:O$37))</f>
        <v>0.60661764705882359</v>
      </c>
      <c r="P5">
        <f>(stylometry_data_drama!P5 - MIN(stylometry_data_drama!P$2:P$37))/(MAX(stylometry_data_drama!P$2:P$37) - MIN(stylometry_data_drama!P$2:P$37))</f>
        <v>0.50406504065040647</v>
      </c>
      <c r="Q5">
        <f>(stylometry_data_drama!Q5 - MIN(stylometry_data_drama!Q$2:Q$37))/(MAX(stylometry_data_drama!Q$2:Q$37) - MIN(stylometry_data_drama!Q$2:Q$37))</f>
        <v>0.52375434530706833</v>
      </c>
      <c r="R5">
        <f>(stylometry_data_drama!R5 - MIN(stylometry_data_drama!R$2:R$37))/(MAX(stylometry_data_drama!R$2:R$37) - MIN(stylometry_data_drama!R$2:R$37))</f>
        <v>0.28888888888888886</v>
      </c>
      <c r="S5">
        <f>(stylometry_data_drama!S5 - MIN(stylometry_data_drama!S$2:S$37))/(MAX(stylometry_data_drama!S$2:S$37) - MIN(stylometry_data_drama!S$2:S$37))</f>
        <v>0.51999999999999991</v>
      </c>
      <c r="T5">
        <f>(stylometry_data_drama!T5 - MIN(stylometry_data_drama!T$2:T$37))/(MAX(stylometry_data_drama!T$2:T$37) - MIN(stylometry_data_drama!T$2:T$37))</f>
        <v>0.3342560901952889</v>
      </c>
      <c r="U5">
        <f>(stylometry_data_drama!U5 - MIN(stylometry_data_drama!U$2:U$37))/(MAX(stylometry_data_drama!U$2:U$37) - MIN(stylometry_data_drama!U$2:U$37))</f>
        <v>0.17469152540515964</v>
      </c>
      <c r="V5">
        <f>(stylometry_data_drama!V5 - MIN(stylometry_data_drama!V$2:V$37))/(MAX(stylometry_data_drama!V$2:V$37) - MIN(stylometry_data_drama!V$2:V$37))</f>
        <v>0.15714285714285717</v>
      </c>
      <c r="W5">
        <f>(stylometry_data_drama!W5 - MIN(stylometry_data_drama!W$2:W$37))/(MAX(stylometry_data_drama!W$2:W$37) - MIN(stylometry_data_drama!W$2:W$37))</f>
        <v>1</v>
      </c>
      <c r="X5">
        <f>(stylometry_data_drama!X5 - MIN(stylometry_data_drama!X$2:X$37))/(MAX(stylometry_data_drama!X$2:X$37) - MIN(stylometry_data_drama!X$2:X$37))</f>
        <v>0.18729096989966548</v>
      </c>
      <c r="Y5">
        <f>(stylometry_data_drama!Y5 - MIN(stylometry_data_drama!Y$2:Y$37))/(MAX(stylometry_data_drama!Y$2:Y$37) - MIN(stylometry_data_drama!Y$2:Y$37))</f>
        <v>0.53488372093023262</v>
      </c>
      <c r="Z5">
        <f>(stylometry_data_drama!Z5 - MIN(stylometry_data_drama!Z$2:Z$37))/(MAX(stylometry_data_drama!Z$2:Z$37) - MIN(stylometry_data_drama!Z$2:Z$37))</f>
        <v>0.11413976497618805</v>
      </c>
      <c r="AA5" t="s">
        <v>28</v>
      </c>
    </row>
    <row r="6" spans="1:27" x14ac:dyDescent="0.2">
      <c r="A6">
        <f>(stylometry_data_drama!A6 - MIN(stylometry_data_drama!A$2:A$37))/(MAX(stylometry_data_drama!A$2:A$37) - MIN(stylometry_data_drama!A$2:A$37))</f>
        <v>0.86563133018230931</v>
      </c>
      <c r="B6">
        <f>(stylometry_data_drama!B6 - MIN(stylometry_data_drama!B$2:B$37))/(MAX(stylometry_data_drama!B$2:B$37) - MIN(stylometry_data_drama!B$2:B$37))</f>
        <v>0.7592592592592593</v>
      </c>
      <c r="C6">
        <f>(stylometry_data_drama!C6 - MIN(stylometry_data_drama!C$2:C$37))/(MAX(stylometry_data_drama!C$2:C$37) - MIN(stylometry_data_drama!C$2:C$37))</f>
        <v>0</v>
      </c>
      <c r="D6">
        <f>(stylometry_data_drama!D6 - MIN(stylometry_data_drama!D$2:D$37))/(MAX(stylometry_data_drama!D$2:D$37) - MIN(stylometry_data_drama!D$2:D$37))</f>
        <v>0.62135922330097071</v>
      </c>
      <c r="E6">
        <f>(stylometry_data_drama!E6 - MIN(stylometry_data_drama!E$2:E$37))/(MAX(stylometry_data_drama!E$2:E$37) - MIN(stylometry_data_drama!E$2:E$37))</f>
        <v>0.52500000000000002</v>
      </c>
      <c r="F6">
        <f>(stylometry_data_drama!F6 - MIN(stylometry_data_drama!F$2:F$37))/(MAX(stylometry_data_drama!F$2:F$37) - MIN(stylometry_data_drama!F$2:F$37))</f>
        <v>0.59375000000000011</v>
      </c>
      <c r="G6">
        <f>(stylometry_data_drama!G6 - MIN(stylometry_data_drama!G$2:G$37))/(MAX(stylometry_data_drama!G$2:G$37) - MIN(stylometry_data_drama!G$2:G$37))</f>
        <v>0.24175824175824173</v>
      </c>
      <c r="H6">
        <f>(stylometry_data_drama!H6 - MIN(stylometry_data_drama!H$2:H$37))/(MAX(stylometry_data_drama!H$2:H$37) - MIN(stylometry_data_drama!H$2:H$37))</f>
        <v>0.34545454545454546</v>
      </c>
      <c r="I6">
        <f>(stylometry_data_drama!I6 - MIN(stylometry_data_drama!I$2:I$37))/(MAX(stylometry_data_drama!I$2:I$37) - MIN(stylometry_data_drama!I$2:I$37))</f>
        <v>0.3125</v>
      </c>
      <c r="J6">
        <f>(stylometry_data_drama!J6 - MIN(stylometry_data_drama!J$2:J$37))/(MAX(stylometry_data_drama!J$2:J$37) - MIN(stylometry_data_drama!J$2:J$37))</f>
        <v>0</v>
      </c>
      <c r="K6">
        <f>(stylometry_data_drama!K6 - MIN(stylometry_data_drama!K$2:K$37))/(MAX(stylometry_data_drama!K$2:K$37) - MIN(stylometry_data_drama!K$2:K$37))</f>
        <v>0.66666666666666674</v>
      </c>
      <c r="L6">
        <f>(stylometry_data_drama!L6 - MIN(stylometry_data_drama!L$2:L$37))/(MAX(stylometry_data_drama!L$2:L$37) - MIN(stylometry_data_drama!L$2:L$37))</f>
        <v>0.19354838709677422</v>
      </c>
      <c r="M6">
        <f>(stylometry_data_drama!M6 - MIN(stylometry_data_drama!M$2:M$37))/(MAX(stylometry_data_drama!M$2:M$37) - MIN(stylometry_data_drama!M$2:M$37))</f>
        <v>0.35294117647058826</v>
      </c>
      <c r="N6">
        <f>(stylometry_data_drama!N6 - MIN(stylometry_data_drama!N$2:N$37))/(MAX(stylometry_data_drama!N$2:N$37) - MIN(stylometry_data_drama!N$2:N$37))</f>
        <v>0.70508474576271196</v>
      </c>
      <c r="O6">
        <f>(stylometry_data_drama!O6 - MIN(stylometry_data_drama!O$2:O$37))/(MAX(stylometry_data_drama!O$2:O$37) - MIN(stylometry_data_drama!O$2:O$37))</f>
        <v>0.78308823529411775</v>
      </c>
      <c r="P6">
        <f>(stylometry_data_drama!P6 - MIN(stylometry_data_drama!P$2:P$37))/(MAX(stylometry_data_drama!P$2:P$37) - MIN(stylometry_data_drama!P$2:P$37))</f>
        <v>0.87804878048780488</v>
      </c>
      <c r="Q6">
        <f>(stylometry_data_drama!Q6 - MIN(stylometry_data_drama!Q$2:Q$37))/(MAX(stylometry_data_drama!Q$2:Q$37) - MIN(stylometry_data_drama!Q$2:Q$37))</f>
        <v>0.24333719582850513</v>
      </c>
      <c r="R6">
        <f>(stylometry_data_drama!R6 - MIN(stylometry_data_drama!R$2:R$37))/(MAX(stylometry_data_drama!R$2:R$37) - MIN(stylometry_data_drama!R$2:R$37))</f>
        <v>0.37777777777777782</v>
      </c>
      <c r="S6">
        <f>(stylometry_data_drama!S6 - MIN(stylometry_data_drama!S$2:S$37))/(MAX(stylometry_data_drama!S$2:S$37) - MIN(stylometry_data_drama!S$2:S$37))</f>
        <v>0.55999999999999994</v>
      </c>
      <c r="T6">
        <f>(stylometry_data_drama!T6 - MIN(stylometry_data_drama!T$2:T$37))/(MAX(stylometry_data_drama!T$2:T$37) - MIN(stylometry_data_drama!T$2:T$37))</f>
        <v>0.6524562109925508</v>
      </c>
      <c r="U6">
        <f>(stylometry_data_drama!U6 - MIN(stylometry_data_drama!U$2:U$37))/(MAX(stylometry_data_drama!U$2:U$37) - MIN(stylometry_data_drama!U$2:U$37))</f>
        <v>0.17526287102543661</v>
      </c>
      <c r="V6">
        <f>(stylometry_data_drama!V6 - MIN(stylometry_data_drama!V$2:V$37))/(MAX(stylometry_data_drama!V$2:V$37) - MIN(stylometry_data_drama!V$2:V$37))</f>
        <v>0.4</v>
      </c>
      <c r="W6">
        <f>(stylometry_data_drama!W6 - MIN(stylometry_data_drama!W$2:W$37))/(MAX(stylometry_data_drama!W$2:W$37) - MIN(stylometry_data_drama!W$2:W$37))</f>
        <v>0.71794871794871795</v>
      </c>
      <c r="X6">
        <f>(stylometry_data_drama!X6 - MIN(stylometry_data_drama!X$2:X$37))/(MAX(stylometry_data_drama!X$2:X$37) - MIN(stylometry_data_drama!X$2:X$37))</f>
        <v>1</v>
      </c>
      <c r="Y6">
        <f>(stylometry_data_drama!Y6 - MIN(stylometry_data_drama!Y$2:Y$37))/(MAX(stylometry_data_drama!Y$2:Y$37) - MIN(stylometry_data_drama!Y$2:Y$37))</f>
        <v>0</v>
      </c>
      <c r="Z6">
        <f>(stylometry_data_drama!Z6 - MIN(stylometry_data_drama!Z$2:Z$37))/(MAX(stylometry_data_drama!Z$2:Z$37) - MIN(stylometry_data_drama!Z$2:Z$37))</f>
        <v>0.28347359356672491</v>
      </c>
      <c r="AA6" t="s">
        <v>29</v>
      </c>
    </row>
    <row r="7" spans="1:27" x14ac:dyDescent="0.2">
      <c r="A7">
        <f>(stylometry_data_drama!A7 - MIN(stylometry_data_drama!A$2:A$37))/(MAX(stylometry_data_drama!A$2:A$37) - MIN(stylometry_data_drama!A$2:A$37))</f>
        <v>0.86698176907494939</v>
      </c>
      <c r="B7">
        <f>(stylometry_data_drama!B7 - MIN(stylometry_data_drama!B$2:B$37))/(MAX(stylometry_data_drama!B$2:B$37) - MIN(stylometry_data_drama!B$2:B$37))</f>
        <v>0.66225749559082892</v>
      </c>
      <c r="C7">
        <f>(stylometry_data_drama!C7 - MIN(stylometry_data_drama!C$2:C$37))/(MAX(stylometry_data_drama!C$2:C$37) - MIN(stylometry_data_drama!C$2:C$37))</f>
        <v>0.2</v>
      </c>
      <c r="D7">
        <f>(stylometry_data_drama!D7 - MIN(stylometry_data_drama!D$2:D$37))/(MAX(stylometry_data_drama!D$2:D$37) - MIN(stylometry_data_drama!D$2:D$37))</f>
        <v>0.63106796116504849</v>
      </c>
      <c r="E7">
        <f>(stylometry_data_drama!E7 - MIN(stylometry_data_drama!E$2:E$37))/(MAX(stylometry_data_drama!E$2:E$37) - MIN(stylometry_data_drama!E$2:E$37))</f>
        <v>0.375</v>
      </c>
      <c r="F7">
        <f>(stylometry_data_drama!F7 - MIN(stylometry_data_drama!F$2:F$37))/(MAX(stylometry_data_drama!F$2:F$37) - MIN(stylometry_data_drama!F$2:F$37))</f>
        <v>0.15625000000000003</v>
      </c>
      <c r="G7">
        <f>(stylometry_data_drama!G7 - MIN(stylometry_data_drama!G$2:G$37))/(MAX(stylometry_data_drama!G$2:G$37) - MIN(stylometry_data_drama!G$2:G$37))</f>
        <v>2.1978021978021976E-2</v>
      </c>
      <c r="H7">
        <f>(stylometry_data_drama!H7 - MIN(stylometry_data_drama!H$2:H$37))/(MAX(stylometry_data_drama!H$2:H$37) - MIN(stylometry_data_drama!H$2:H$37))</f>
        <v>0.30909090909090908</v>
      </c>
      <c r="I7">
        <f>(stylometry_data_drama!I7 - MIN(stylometry_data_drama!I$2:I$37))/(MAX(stylometry_data_drama!I$2:I$37) - MIN(stylometry_data_drama!I$2:I$37))</f>
        <v>0.1875</v>
      </c>
      <c r="J7">
        <f>(stylometry_data_drama!J7 - MIN(stylometry_data_drama!J$2:J$37))/(MAX(stylometry_data_drama!J$2:J$37) - MIN(stylometry_data_drama!J$2:J$37))</f>
        <v>0</v>
      </c>
      <c r="K7">
        <f>(stylometry_data_drama!K7 - MIN(stylometry_data_drama!K$2:K$37))/(MAX(stylometry_data_drama!K$2:K$37) - MIN(stylometry_data_drama!K$2:K$37))</f>
        <v>0</v>
      </c>
      <c r="L7">
        <f>(stylometry_data_drama!L7 - MIN(stylometry_data_drama!L$2:L$37))/(MAX(stylometry_data_drama!L$2:L$37) - MIN(stylometry_data_drama!L$2:L$37))</f>
        <v>0.58064516129032251</v>
      </c>
      <c r="M7">
        <f>(stylometry_data_drama!M7 - MIN(stylometry_data_drama!M$2:M$37))/(MAX(stylometry_data_drama!M$2:M$37) - MIN(stylometry_data_drama!M$2:M$37))</f>
        <v>0.84313725490196068</v>
      </c>
      <c r="N7">
        <f>(stylometry_data_drama!N7 - MIN(stylometry_data_drama!N$2:N$37))/(MAX(stylometry_data_drama!N$2:N$37) - MIN(stylometry_data_drama!N$2:N$37))</f>
        <v>0.69830508474576281</v>
      </c>
      <c r="O7">
        <f>(stylometry_data_drama!O7 - MIN(stylometry_data_drama!O$2:O$37))/(MAX(stylometry_data_drama!O$2:O$37) - MIN(stylometry_data_drama!O$2:O$37))</f>
        <v>0.68014705882352955</v>
      </c>
      <c r="P7">
        <f>(stylometry_data_drama!P7 - MIN(stylometry_data_drama!P$2:P$37))/(MAX(stylometry_data_drama!P$2:P$37) - MIN(stylometry_data_drama!P$2:P$37))</f>
        <v>0.3983739837398374</v>
      </c>
      <c r="Q7">
        <f>(stylometry_data_drama!Q7 - MIN(stylometry_data_drama!Q$2:Q$37))/(MAX(stylometry_data_drama!Q$2:Q$37) - MIN(stylometry_data_drama!Q$2:Q$37))</f>
        <v>0.51332560834298957</v>
      </c>
      <c r="R7">
        <f>(stylometry_data_drama!R7 - MIN(stylometry_data_drama!R$2:R$37))/(MAX(stylometry_data_drama!R$2:R$37) - MIN(stylometry_data_drama!R$2:R$37))</f>
        <v>0.44444444444444448</v>
      </c>
      <c r="S7">
        <f>(stylometry_data_drama!S7 - MIN(stylometry_data_drama!S$2:S$37))/(MAX(stylometry_data_drama!S$2:S$37) - MIN(stylometry_data_drama!S$2:S$37))</f>
        <v>0.92</v>
      </c>
      <c r="T7">
        <f>(stylometry_data_drama!T7 - MIN(stylometry_data_drama!T$2:T$37))/(MAX(stylometry_data_drama!T$2:T$37) - MIN(stylometry_data_drama!T$2:T$37))</f>
        <v>0.11571371048922896</v>
      </c>
      <c r="U7">
        <f>(stylometry_data_drama!U7 - MIN(stylometry_data_drama!U$2:U$37))/(MAX(stylometry_data_drama!U$2:U$37) - MIN(stylometry_data_drama!U$2:U$37))</f>
        <v>0.10192685351804845</v>
      </c>
      <c r="V7">
        <f>(stylometry_data_drama!V7 - MIN(stylometry_data_drama!V$2:V$37))/(MAX(stylometry_data_drama!V$2:V$37) - MIN(stylometry_data_drama!V$2:V$37))</f>
        <v>7.1428571428571438E-2</v>
      </c>
      <c r="W7">
        <f>(stylometry_data_drama!W7 - MIN(stylometry_data_drama!W$2:W$37))/(MAX(stylometry_data_drama!W$2:W$37) - MIN(stylometry_data_drama!W$2:W$37))</f>
        <v>0.58974358974358976</v>
      </c>
      <c r="X7">
        <f>(stylometry_data_drama!X7 - MIN(stylometry_data_drama!X$2:X$37))/(MAX(stylometry_data_drama!X$2:X$37) - MIN(stylometry_data_drama!X$2:X$37))</f>
        <v>0.52173913043478226</v>
      </c>
      <c r="Y7">
        <f>(stylometry_data_drama!Y7 - MIN(stylometry_data_drama!Y$2:Y$37))/(MAX(stylometry_data_drama!Y$2:Y$37) - MIN(stylometry_data_drama!Y$2:Y$37))</f>
        <v>0.20930232558139536</v>
      </c>
      <c r="Z7">
        <f>(stylometry_data_drama!Z7 - MIN(stylometry_data_drama!Z$2:Z$37))/(MAX(stylometry_data_drama!Z$2:Z$37) - MIN(stylometry_data_drama!Z$2:Z$37))</f>
        <v>7.9032289760256669E-2</v>
      </c>
      <c r="AA7" t="s">
        <v>30</v>
      </c>
    </row>
    <row r="8" spans="1:27" x14ac:dyDescent="0.2">
      <c r="A8">
        <f>(stylometry_data_drama!A8 - MIN(stylometry_data_drama!A$2:A$37))/(MAX(stylometry_data_drama!A$2:A$37) - MIN(stylometry_data_drama!A$2:A$37))</f>
        <v>0.84199864956110748</v>
      </c>
      <c r="B8">
        <f>(stylometry_data_drama!B8 - MIN(stylometry_data_drama!B$2:B$37))/(MAX(stylometry_data_drama!B$2:B$37) - MIN(stylometry_data_drama!B$2:B$37))</f>
        <v>1</v>
      </c>
      <c r="C8">
        <f>(stylometry_data_drama!C8 - MIN(stylometry_data_drama!C$2:C$37))/(MAX(stylometry_data_drama!C$2:C$37) - MIN(stylometry_data_drama!C$2:C$37))</f>
        <v>1</v>
      </c>
      <c r="D8">
        <f>(stylometry_data_drama!D8 - MIN(stylometry_data_drama!D$2:D$37))/(MAX(stylometry_data_drama!D$2:D$37) - MIN(stylometry_data_drama!D$2:D$37))</f>
        <v>0.84466019417475735</v>
      </c>
      <c r="E8">
        <f>(stylometry_data_drama!E8 - MIN(stylometry_data_drama!E$2:E$37))/(MAX(stylometry_data_drama!E$2:E$37) - MIN(stylometry_data_drama!E$2:E$37))</f>
        <v>0.3125</v>
      </c>
      <c r="F8">
        <f>(stylometry_data_drama!F8 - MIN(stylometry_data_drama!F$2:F$37))/(MAX(stylometry_data_drama!F$2:F$37) - MIN(stylometry_data_drama!F$2:F$37))</f>
        <v>0.796875</v>
      </c>
      <c r="G8">
        <f>(stylometry_data_drama!G8 - MIN(stylometry_data_drama!G$2:G$37))/(MAX(stylometry_data_drama!G$2:G$37) - MIN(stylometry_data_drama!G$2:G$37))</f>
        <v>7.6923076923076927E-2</v>
      </c>
      <c r="H8">
        <f>(stylometry_data_drama!H8 - MIN(stylometry_data_drama!H$2:H$37))/(MAX(stylometry_data_drama!H$2:H$37) - MIN(stylometry_data_drama!H$2:H$37))</f>
        <v>0.58181818181818179</v>
      </c>
      <c r="I8">
        <f>(stylometry_data_drama!I8 - MIN(stylometry_data_drama!I$2:I$37))/(MAX(stylometry_data_drama!I$2:I$37) - MIN(stylometry_data_drama!I$2:I$37))</f>
        <v>0</v>
      </c>
      <c r="J8">
        <f>(stylometry_data_drama!J8 - MIN(stylometry_data_drama!J$2:J$37))/(MAX(stylometry_data_drama!J$2:J$37) - MIN(stylometry_data_drama!J$2:J$37))</f>
        <v>0</v>
      </c>
      <c r="K8">
        <f>(stylometry_data_drama!K8 - MIN(stylometry_data_drama!K$2:K$37))/(MAX(stylometry_data_drama!K$2:K$37) - MIN(stylometry_data_drama!K$2:K$37))</f>
        <v>0</v>
      </c>
      <c r="L8">
        <f>(stylometry_data_drama!L8 - MIN(stylometry_data_drama!L$2:L$37))/(MAX(stylometry_data_drama!L$2:L$37) - MIN(stylometry_data_drama!L$2:L$37))</f>
        <v>1.6129032258064536E-2</v>
      </c>
      <c r="M8">
        <f>(stylometry_data_drama!M8 - MIN(stylometry_data_drama!M$2:M$37))/(MAX(stylometry_data_drama!M$2:M$37) - MIN(stylometry_data_drama!M$2:M$37))</f>
        <v>0.31372549019607843</v>
      </c>
      <c r="N8">
        <f>(stylometry_data_drama!N8 - MIN(stylometry_data_drama!N$2:N$37))/(MAX(stylometry_data_drama!N$2:N$37) - MIN(stylometry_data_drama!N$2:N$37))</f>
        <v>0.56271186440677967</v>
      </c>
      <c r="O8">
        <f>(stylometry_data_drama!O8 - MIN(stylometry_data_drama!O$2:O$37))/(MAX(stylometry_data_drama!O$2:O$37) - MIN(stylometry_data_drama!O$2:O$37))</f>
        <v>0.75000000000000011</v>
      </c>
      <c r="P8">
        <f>(stylometry_data_drama!P8 - MIN(stylometry_data_drama!P$2:P$37))/(MAX(stylometry_data_drama!P$2:P$37) - MIN(stylometry_data_drama!P$2:P$37))</f>
        <v>0.50813008130081294</v>
      </c>
      <c r="Q8">
        <f>(stylometry_data_drama!Q8 - MIN(stylometry_data_drama!Q$2:Q$37))/(MAX(stylometry_data_drama!Q$2:Q$37) - MIN(stylometry_data_drama!Q$2:Q$37))</f>
        <v>0.23174971031286209</v>
      </c>
      <c r="R8">
        <f>(stylometry_data_drama!R8 - MIN(stylometry_data_drama!R$2:R$37))/(MAX(stylometry_data_drama!R$2:R$37) - MIN(stylometry_data_drama!R$2:R$37))</f>
        <v>0.35555555555555557</v>
      </c>
      <c r="S8">
        <f>(stylometry_data_drama!S8 - MIN(stylometry_data_drama!S$2:S$37))/(MAX(stylometry_data_drama!S$2:S$37) - MIN(stylometry_data_drama!S$2:S$37))</f>
        <v>0.32</v>
      </c>
      <c r="T8">
        <f>(stylometry_data_drama!T8 - MIN(stylometry_data_drama!T$2:T$37))/(MAX(stylometry_data_drama!T$2:T$37) - MIN(stylometry_data_drama!T$2:T$37))</f>
        <v>0.33576605596939801</v>
      </c>
      <c r="U8">
        <f>(stylometry_data_drama!U8 - MIN(stylometry_data_drama!U$2:U$37))/(MAX(stylometry_data_drama!U$2:U$37) - MIN(stylometry_data_drama!U$2:U$37))</f>
        <v>0.12310772576505814</v>
      </c>
      <c r="V8">
        <f>(stylometry_data_drama!V8 - MIN(stylometry_data_drama!V$2:V$37))/(MAX(stylometry_data_drama!V$2:V$37) - MIN(stylometry_data_drama!V$2:V$37))</f>
        <v>0.2</v>
      </c>
      <c r="W8">
        <f>(stylometry_data_drama!W8 - MIN(stylometry_data_drama!W$2:W$37))/(MAX(stylometry_data_drama!W$2:W$37) - MIN(stylometry_data_drama!W$2:W$37))</f>
        <v>0.33333333333333337</v>
      </c>
      <c r="X8">
        <f>(stylometry_data_drama!X8 - MIN(stylometry_data_drama!X$2:X$37))/(MAX(stylometry_data_drama!X$2:X$37) - MIN(stylometry_data_drama!X$2:X$37))</f>
        <v>0.63879598662207371</v>
      </c>
      <c r="Y8">
        <f>(stylometry_data_drama!Y8 - MIN(stylometry_data_drama!Y$2:Y$37))/(MAX(stylometry_data_drama!Y$2:Y$37) - MIN(stylometry_data_drama!Y$2:Y$37))</f>
        <v>0.186046511627907</v>
      </c>
      <c r="Z8">
        <f>(stylometry_data_drama!Z8 - MIN(stylometry_data_drama!Z$2:Z$37))/(MAX(stylometry_data_drama!Z$2:Z$37) - MIN(stylometry_data_drama!Z$2:Z$37))</f>
        <v>0.15390300153570541</v>
      </c>
      <c r="AA8" t="s">
        <v>31</v>
      </c>
    </row>
    <row r="9" spans="1:27" x14ac:dyDescent="0.2">
      <c r="A9">
        <f>(stylometry_data_drama!A9 - MIN(stylometry_data_drama!A$2:A$37))/(MAX(stylometry_data_drama!A$2:A$37) - MIN(stylometry_data_drama!A$2:A$37))</f>
        <v>1</v>
      </c>
      <c r="B9">
        <f>(stylometry_data_drama!B9 - MIN(stylometry_data_drama!B$2:B$37))/(MAX(stylometry_data_drama!B$2:B$37) - MIN(stylometry_data_drama!B$2:B$37))</f>
        <v>0.59171075837742515</v>
      </c>
      <c r="C9">
        <f>(stylometry_data_drama!C9 - MIN(stylometry_data_drama!C$2:C$37))/(MAX(stylometry_data_drama!C$2:C$37) - MIN(stylometry_data_drama!C$2:C$37))</f>
        <v>0</v>
      </c>
      <c r="D9">
        <f>(stylometry_data_drama!D9 - MIN(stylometry_data_drama!D$2:D$37))/(MAX(stylometry_data_drama!D$2:D$37) - MIN(stylometry_data_drama!D$2:D$37))</f>
        <v>0.52427184466019405</v>
      </c>
      <c r="E9">
        <f>(stylometry_data_drama!E9 - MIN(stylometry_data_drama!E$2:E$37))/(MAX(stylometry_data_drama!E$2:E$37) - MIN(stylometry_data_drama!E$2:E$37))</f>
        <v>0.76249999999999996</v>
      </c>
      <c r="F9">
        <f>(stylometry_data_drama!F9 - MIN(stylometry_data_drama!F$2:F$37))/(MAX(stylometry_data_drama!F$2:F$37) - MIN(stylometry_data_drama!F$2:F$37))</f>
        <v>0.28125</v>
      </c>
      <c r="G9">
        <f>(stylometry_data_drama!G9 - MIN(stylometry_data_drama!G$2:G$37))/(MAX(stylometry_data_drama!G$2:G$37) - MIN(stylometry_data_drama!G$2:G$37))</f>
        <v>0.2857142857142857</v>
      </c>
      <c r="H9">
        <f>(stylometry_data_drama!H9 - MIN(stylometry_data_drama!H$2:H$37))/(MAX(stylometry_data_drama!H$2:H$37) - MIN(stylometry_data_drama!H$2:H$37))</f>
        <v>0.30909090909090908</v>
      </c>
      <c r="I9">
        <f>(stylometry_data_drama!I9 - MIN(stylometry_data_drama!I$2:I$37))/(MAX(stylometry_data_drama!I$2:I$37) - MIN(stylometry_data_drama!I$2:I$37))</f>
        <v>0.625</v>
      </c>
      <c r="J9">
        <f>(stylometry_data_drama!J9 - MIN(stylometry_data_drama!J$2:J$37))/(MAX(stylometry_data_drama!J$2:J$37) - MIN(stylometry_data_drama!J$2:J$37))</f>
        <v>0</v>
      </c>
      <c r="K9">
        <f>(stylometry_data_drama!K9 - MIN(stylometry_data_drama!K$2:K$37))/(MAX(stylometry_data_drama!K$2:K$37) - MIN(stylometry_data_drama!K$2:K$37))</f>
        <v>0</v>
      </c>
      <c r="L9">
        <f>(stylometry_data_drama!L9 - MIN(stylometry_data_drama!L$2:L$37))/(MAX(stylometry_data_drama!L$2:L$37) - MIN(stylometry_data_drama!L$2:L$37))</f>
        <v>0.83870967741935498</v>
      </c>
      <c r="M9">
        <f>(stylometry_data_drama!M9 - MIN(stylometry_data_drama!M$2:M$37))/(MAX(stylometry_data_drama!M$2:M$37) - MIN(stylometry_data_drama!M$2:M$37))</f>
        <v>0.50980392156862742</v>
      </c>
      <c r="N9">
        <f>(stylometry_data_drama!N9 - MIN(stylometry_data_drama!N$2:N$37))/(MAX(stylometry_data_drama!N$2:N$37) - MIN(stylometry_data_drama!N$2:N$37))</f>
        <v>0.64067796610169503</v>
      </c>
      <c r="O9">
        <f>(stylometry_data_drama!O9 - MIN(stylometry_data_drama!O$2:O$37))/(MAX(stylometry_data_drama!O$2:O$37) - MIN(stylometry_data_drama!O$2:O$37))</f>
        <v>0.78308823529411775</v>
      </c>
      <c r="P9">
        <f>(stylometry_data_drama!P9 - MIN(stylometry_data_drama!P$2:P$37))/(MAX(stylometry_data_drama!P$2:P$37) - MIN(stylometry_data_drama!P$2:P$37))</f>
        <v>0.59756097560975607</v>
      </c>
      <c r="Q9">
        <f>(stylometry_data_drama!Q9 - MIN(stylometry_data_drama!Q$2:Q$37))/(MAX(stylometry_data_drama!Q$2:Q$37) - MIN(stylometry_data_drama!Q$2:Q$37))</f>
        <v>0.54577056778679023</v>
      </c>
      <c r="R9">
        <f>(stylometry_data_drama!R9 - MIN(stylometry_data_drama!R$2:R$37))/(MAX(stylometry_data_drama!R$2:R$37) - MIN(stylometry_data_drama!R$2:R$37))</f>
        <v>0.62222222222222223</v>
      </c>
      <c r="S9">
        <f>(stylometry_data_drama!S9 - MIN(stylometry_data_drama!S$2:S$37))/(MAX(stylometry_data_drama!S$2:S$37) - MIN(stylometry_data_drama!S$2:S$37))</f>
        <v>0.84</v>
      </c>
      <c r="T9">
        <f>(stylometry_data_drama!T9 - MIN(stylometry_data_drama!T$2:T$37))/(MAX(stylometry_data_drama!T$2:T$37) - MIN(stylometry_data_drama!T$2:T$37))</f>
        <v>0.29585262734044693</v>
      </c>
      <c r="U9">
        <f>(stylometry_data_drama!U9 - MIN(stylometry_data_drama!U$2:U$37))/(MAX(stylometry_data_drama!U$2:U$37) - MIN(stylometry_data_drama!U$2:U$37))</f>
        <v>3.8613213257628613E-2</v>
      </c>
      <c r="V9">
        <f>(stylometry_data_drama!V9 - MIN(stylometry_data_drama!V$2:V$37))/(MAX(stylometry_data_drama!V$2:V$37) - MIN(stylometry_data_drama!V$2:V$37))</f>
        <v>0.25714285714285717</v>
      </c>
      <c r="W9">
        <f>(stylometry_data_drama!W9 - MIN(stylometry_data_drama!W$2:W$37))/(MAX(stylometry_data_drama!W$2:W$37) - MIN(stylometry_data_drama!W$2:W$37))</f>
        <v>0.28205128205128205</v>
      </c>
      <c r="X9">
        <f>(stylometry_data_drama!X9 - MIN(stylometry_data_drama!X$2:X$37))/(MAX(stylometry_data_drama!X$2:X$37) - MIN(stylometry_data_drama!X$2:X$37))</f>
        <v>0.25083612040133746</v>
      </c>
      <c r="Y9">
        <f>(stylometry_data_drama!Y9 - MIN(stylometry_data_drama!Y$2:Y$37))/(MAX(stylometry_data_drama!Y$2:Y$37) - MIN(stylometry_data_drama!Y$2:Y$37))</f>
        <v>0.23255813953488375</v>
      </c>
      <c r="Z9">
        <f>(stylometry_data_drama!Z9 - MIN(stylometry_data_drama!Z$2:Z$37))/(MAX(stylometry_data_drama!Z$2:Z$37) - MIN(stylometry_data_drama!Z$2:Z$37))</f>
        <v>5.0085193474073593E-2</v>
      </c>
      <c r="AA9" t="s">
        <v>32</v>
      </c>
    </row>
    <row r="10" spans="1:27" x14ac:dyDescent="0.2">
      <c r="A10">
        <f>(stylometry_data_drama!A10 - MIN(stylometry_data_drama!A$2:A$37))/(MAX(stylometry_data_drama!A$2:A$37) - MIN(stylometry_data_drama!A$2:A$37))</f>
        <v>0.82849426063470633</v>
      </c>
      <c r="B10">
        <f>(stylometry_data_drama!B10 - MIN(stylometry_data_drama!B$2:B$37))/(MAX(stylometry_data_drama!B$2:B$37) - MIN(stylometry_data_drama!B$2:B$37))</f>
        <v>0.77248677248677255</v>
      </c>
      <c r="C10">
        <f>(stylometry_data_drama!C10 - MIN(stylometry_data_drama!C$2:C$37))/(MAX(stylometry_data_drama!C$2:C$37) - MIN(stylometry_data_drama!C$2:C$37))</f>
        <v>0</v>
      </c>
      <c r="D10">
        <f>(stylometry_data_drama!D10 - MIN(stylometry_data_drama!D$2:D$37))/(MAX(stylometry_data_drama!D$2:D$37) - MIN(stylometry_data_drama!D$2:D$37))</f>
        <v>0.57281553398058249</v>
      </c>
      <c r="E10">
        <f>(stylometry_data_drama!E10 - MIN(stylometry_data_drama!E$2:E$37))/(MAX(stylometry_data_drama!E$2:E$37) - MIN(stylometry_data_drama!E$2:E$37))</f>
        <v>0.3</v>
      </c>
      <c r="F10">
        <f>(stylometry_data_drama!F10 - MIN(stylometry_data_drama!F$2:F$37))/(MAX(stylometry_data_drama!F$2:F$37) - MIN(stylometry_data_drama!F$2:F$37))</f>
        <v>0.671875</v>
      </c>
      <c r="G10">
        <f>(stylometry_data_drama!G10 - MIN(stylometry_data_drama!G$2:G$37))/(MAX(stylometry_data_drama!G$2:G$37) - MIN(stylometry_data_drama!G$2:G$37))</f>
        <v>0.37362637362637358</v>
      </c>
      <c r="H10">
        <f>(stylometry_data_drama!H10 - MIN(stylometry_data_drama!H$2:H$37))/(MAX(stylometry_data_drama!H$2:H$37) - MIN(stylometry_data_drama!H$2:H$37))</f>
        <v>0.18181818181818182</v>
      </c>
      <c r="I10">
        <f>(stylometry_data_drama!I10 - MIN(stylometry_data_drama!I$2:I$37))/(MAX(stylometry_data_drama!I$2:I$37) - MIN(stylometry_data_drama!I$2:I$37))</f>
        <v>1</v>
      </c>
      <c r="J10">
        <f>(stylometry_data_drama!J10 - MIN(stylometry_data_drama!J$2:J$37))/(MAX(stylometry_data_drama!J$2:J$37) - MIN(stylometry_data_drama!J$2:J$37))</f>
        <v>0</v>
      </c>
      <c r="K10">
        <f>(stylometry_data_drama!K10 - MIN(stylometry_data_drama!K$2:K$37))/(MAX(stylometry_data_drama!K$2:K$37) - MIN(stylometry_data_drama!K$2:K$37))</f>
        <v>0</v>
      </c>
      <c r="L10">
        <f>(stylometry_data_drama!L10 - MIN(stylometry_data_drama!L$2:L$37))/(MAX(stylometry_data_drama!L$2:L$37) - MIN(stylometry_data_drama!L$2:L$37))</f>
        <v>0.41935483870967749</v>
      </c>
      <c r="M10">
        <f>(stylometry_data_drama!M10 - MIN(stylometry_data_drama!M$2:M$37))/(MAX(stylometry_data_drama!M$2:M$37) - MIN(stylometry_data_drama!M$2:M$37))</f>
        <v>0.39215686274509803</v>
      </c>
      <c r="N10">
        <f>(stylometry_data_drama!N10 - MIN(stylometry_data_drama!N$2:N$37))/(MAX(stylometry_data_drama!N$2:N$37) - MIN(stylometry_data_drama!N$2:N$37))</f>
        <v>0.59661016949152557</v>
      </c>
      <c r="O10">
        <f>(stylometry_data_drama!O10 - MIN(stylometry_data_drama!O$2:O$37))/(MAX(stylometry_data_drama!O$2:O$37) - MIN(stylometry_data_drama!O$2:O$37))</f>
        <v>0.62132352941176483</v>
      </c>
      <c r="P10">
        <f>(stylometry_data_drama!P10 - MIN(stylometry_data_drama!P$2:P$37))/(MAX(stylometry_data_drama!P$2:P$37) - MIN(stylometry_data_drama!P$2:P$37))</f>
        <v>0.75203252032520307</v>
      </c>
      <c r="Q10">
        <f>(stylometry_data_drama!Q10 - MIN(stylometry_data_drama!Q$2:Q$37))/(MAX(stylometry_data_drama!Q$2:Q$37) - MIN(stylometry_data_drama!Q$2:Q$37))</f>
        <v>0.60139049826187707</v>
      </c>
      <c r="R10">
        <f>(stylometry_data_drama!R10 - MIN(stylometry_data_drama!R$2:R$37))/(MAX(stylometry_data_drama!R$2:R$37) - MIN(stylometry_data_drama!R$2:R$37))</f>
        <v>0.15555555555555556</v>
      </c>
      <c r="S10">
        <f>(stylometry_data_drama!S10 - MIN(stylometry_data_drama!S$2:S$37))/(MAX(stylometry_data_drama!S$2:S$37) - MIN(stylometry_data_drama!S$2:S$37))</f>
        <v>0.4</v>
      </c>
      <c r="T10">
        <f>(stylometry_data_drama!T10 - MIN(stylometry_data_drama!T$2:T$37))/(MAX(stylometry_data_drama!T$2:T$37) - MIN(stylometry_data_drama!T$2:T$37))</f>
        <v>0.32081739480571769</v>
      </c>
      <c r="U10">
        <f>(stylometry_data_drama!U10 - MIN(stylometry_data_drama!U$2:U$37))/(MAX(stylometry_data_drama!U$2:U$37) - MIN(stylometry_data_drama!U$2:U$37))</f>
        <v>0.20812756948039315</v>
      </c>
      <c r="V10">
        <f>(stylometry_data_drama!V10 - MIN(stylometry_data_drama!V$2:V$37))/(MAX(stylometry_data_drama!V$2:V$37) - MIN(stylometry_data_drama!V$2:V$37))</f>
        <v>0.2</v>
      </c>
      <c r="W10">
        <f>(stylometry_data_drama!W10 - MIN(stylometry_data_drama!W$2:W$37))/(MAX(stylometry_data_drama!W$2:W$37) - MIN(stylometry_data_drama!W$2:W$37))</f>
        <v>0.51282051282051289</v>
      </c>
      <c r="X10">
        <f>(stylometry_data_drama!X10 - MIN(stylometry_data_drama!X$2:X$37))/(MAX(stylometry_data_drama!X$2:X$37) - MIN(stylometry_data_drama!X$2:X$37))</f>
        <v>5.3511705685618874E-2</v>
      </c>
      <c r="Y10">
        <f>(stylometry_data_drama!Y10 - MIN(stylometry_data_drama!Y$2:Y$37))/(MAX(stylometry_data_drama!Y$2:Y$37) - MIN(stylometry_data_drama!Y$2:Y$37))</f>
        <v>0</v>
      </c>
      <c r="Z10">
        <f>(stylometry_data_drama!Z10 - MIN(stylometry_data_drama!Z$2:Z$37))/(MAX(stylometry_data_drama!Z$2:Z$37) - MIN(stylometry_data_drama!Z$2:Z$37))</f>
        <v>6.4880733968598434E-2</v>
      </c>
      <c r="AA10" t="s">
        <v>33</v>
      </c>
    </row>
    <row r="11" spans="1:27" x14ac:dyDescent="0.2">
      <c r="A11">
        <f>(stylometry_data_drama!A11 - MIN(stylometry_data_drama!A$2:A$37))/(MAX(stylometry_data_drama!A$2:A$37) - MIN(stylometry_data_drama!A$2:A$37))</f>
        <v>0.93315327481431476</v>
      </c>
      <c r="B11">
        <f>(stylometry_data_drama!B11 - MIN(stylometry_data_drama!B$2:B$37))/(MAX(stylometry_data_drama!B$2:B$37) - MIN(stylometry_data_drama!B$2:B$37))</f>
        <v>0.64373897707231031</v>
      </c>
      <c r="C11">
        <f>(stylometry_data_drama!C11 - MIN(stylometry_data_drama!C$2:C$37))/(MAX(stylometry_data_drama!C$2:C$37) - MIN(stylometry_data_drama!C$2:C$37))</f>
        <v>0.24444444444444446</v>
      </c>
      <c r="D11">
        <f>(stylometry_data_drama!D11 - MIN(stylometry_data_drama!D$2:D$37))/(MAX(stylometry_data_drama!D$2:D$37) - MIN(stylometry_data_drama!D$2:D$37))</f>
        <v>0.53398058252427172</v>
      </c>
      <c r="E11">
        <f>(stylometry_data_drama!E11 - MIN(stylometry_data_drama!E$2:E$37))/(MAX(stylometry_data_drama!E$2:E$37) - MIN(stylometry_data_drama!E$2:E$37))</f>
        <v>0.11249999999999999</v>
      </c>
      <c r="F11">
        <f>(stylometry_data_drama!F11 - MIN(stylometry_data_drama!F$2:F$37))/(MAX(stylometry_data_drama!F$2:F$37) - MIN(stylometry_data_drama!F$2:F$37))</f>
        <v>0.32812500000000006</v>
      </c>
      <c r="G11">
        <f>(stylometry_data_drama!G11 - MIN(stylometry_data_drama!G$2:G$37))/(MAX(stylometry_data_drama!G$2:G$37) - MIN(stylometry_data_drama!G$2:G$37))</f>
        <v>0.17582417582417581</v>
      </c>
      <c r="H11">
        <f>(stylometry_data_drama!H11 - MIN(stylometry_data_drama!H$2:H$37))/(MAX(stylometry_data_drama!H$2:H$37) - MIN(stylometry_data_drama!H$2:H$37))</f>
        <v>0.5636363636363636</v>
      </c>
      <c r="I11">
        <f>(stylometry_data_drama!I11 - MIN(stylometry_data_drama!I$2:I$37))/(MAX(stylometry_data_drama!I$2:I$37) - MIN(stylometry_data_drama!I$2:I$37))</f>
        <v>0.25</v>
      </c>
      <c r="J11">
        <f>(stylometry_data_drama!J11 - MIN(stylometry_data_drama!J$2:J$37))/(MAX(stylometry_data_drama!J$2:J$37) - MIN(stylometry_data_drama!J$2:J$37))</f>
        <v>0</v>
      </c>
      <c r="K11">
        <f>(stylometry_data_drama!K11 - MIN(stylometry_data_drama!K$2:K$37))/(MAX(stylometry_data_drama!K$2:K$37) - MIN(stylometry_data_drama!K$2:K$37))</f>
        <v>0</v>
      </c>
      <c r="L11">
        <f>(stylometry_data_drama!L11 - MIN(stylometry_data_drama!L$2:L$37))/(MAX(stylometry_data_drama!L$2:L$37) - MIN(stylometry_data_drama!L$2:L$37))</f>
        <v>0.467741935483871</v>
      </c>
      <c r="M11">
        <f>(stylometry_data_drama!M11 - MIN(stylometry_data_drama!M$2:M$37))/(MAX(stylometry_data_drama!M$2:M$37) - MIN(stylometry_data_drama!M$2:M$37))</f>
        <v>0.56862745098039214</v>
      </c>
      <c r="N11">
        <f>(stylometry_data_drama!N11 - MIN(stylometry_data_drama!N$2:N$37))/(MAX(stylometry_data_drama!N$2:N$37) - MIN(stylometry_data_drama!N$2:N$37))</f>
        <v>0.6745762711864407</v>
      </c>
      <c r="O11">
        <f>(stylometry_data_drama!O11 - MIN(stylometry_data_drama!O$2:O$37))/(MAX(stylometry_data_drama!O$2:O$37) - MIN(stylometry_data_drama!O$2:O$37))</f>
        <v>0.58823529411764708</v>
      </c>
      <c r="P11">
        <f>(stylometry_data_drama!P11 - MIN(stylometry_data_drama!P$2:P$37))/(MAX(stylometry_data_drama!P$2:P$37) - MIN(stylometry_data_drama!P$2:P$37))</f>
        <v>0.52439024390243905</v>
      </c>
      <c r="Q11">
        <f>(stylometry_data_drama!Q11 - MIN(stylometry_data_drama!Q$2:Q$37))/(MAX(stylometry_data_drama!Q$2:Q$37) - MIN(stylometry_data_drama!Q$2:Q$37))</f>
        <v>0.6071842410196987</v>
      </c>
      <c r="R11">
        <f>(stylometry_data_drama!R11 - MIN(stylometry_data_drama!R$2:R$37))/(MAX(stylometry_data_drama!R$2:R$37) - MIN(stylometry_data_drama!R$2:R$37))</f>
        <v>1</v>
      </c>
      <c r="S11">
        <f>(stylometry_data_drama!S11 - MIN(stylometry_data_drama!S$2:S$37))/(MAX(stylometry_data_drama!S$2:S$37) - MIN(stylometry_data_drama!S$2:S$37))</f>
        <v>0.72000000000000008</v>
      </c>
      <c r="T11">
        <f>(stylometry_data_drama!T11 - MIN(stylometry_data_drama!T$2:T$37))/(MAX(stylometry_data_drama!T$2:T$37) - MIN(stylometry_data_drama!T$2:T$37))</f>
        <v>0.33048117576001612</v>
      </c>
      <c r="U11">
        <f>(stylometry_data_drama!U11 - MIN(stylometry_data_drama!U$2:U$37))/(MAX(stylometry_data_drama!U$2:U$37) - MIN(stylometry_data_drama!U$2:U$37))</f>
        <v>3.7198817867834529E-2</v>
      </c>
      <c r="V11">
        <f>(stylometry_data_drama!V11 - MIN(stylometry_data_drama!V$2:V$37))/(MAX(stylometry_data_drama!V$2:V$37) - MIN(stylometry_data_drama!V$2:V$37))</f>
        <v>0.14285714285714288</v>
      </c>
      <c r="W11">
        <f>(stylometry_data_drama!W11 - MIN(stylometry_data_drama!W$2:W$37))/(MAX(stylometry_data_drama!W$2:W$37) - MIN(stylometry_data_drama!W$2:W$37))</f>
        <v>0.25641025641025639</v>
      </c>
      <c r="X11">
        <f>(stylometry_data_drama!X11 - MIN(stylometry_data_drama!X$2:X$37))/(MAX(stylometry_data_drama!X$2:X$37) - MIN(stylometry_data_drama!X$2:X$37))</f>
        <v>0.32107023411371211</v>
      </c>
      <c r="Y11">
        <f>(stylometry_data_drama!Y11 - MIN(stylometry_data_drama!Y$2:Y$37))/(MAX(stylometry_data_drama!Y$2:Y$37) - MIN(stylometry_data_drama!Y$2:Y$37))</f>
        <v>0.20930232558139536</v>
      </c>
      <c r="Z11">
        <f>(stylometry_data_drama!Z11 - MIN(stylometry_data_drama!Z$2:Z$37))/(MAX(stylometry_data_drama!Z$2:Z$37) - MIN(stylometry_data_drama!Z$2:Z$37))</f>
        <v>9.610883760277894E-2</v>
      </c>
      <c r="AA11" t="s">
        <v>34</v>
      </c>
    </row>
    <row r="12" spans="1:27" x14ac:dyDescent="0.2">
      <c r="A12">
        <f>(stylometry_data_drama!A12 - MIN(stylometry_data_drama!A$2:A$37))/(MAX(stylometry_data_drama!A$2:A$37) - MIN(stylometry_data_drama!A$2:A$37))</f>
        <v>0.75962187711006079</v>
      </c>
      <c r="B12">
        <f>(stylometry_data_drama!B12 - MIN(stylometry_data_drama!B$2:B$37))/(MAX(stylometry_data_drama!B$2:B$37) - MIN(stylometry_data_drama!B$2:B$37))</f>
        <v>0.64462081128747806</v>
      </c>
      <c r="C12">
        <f>(stylometry_data_drama!C12 - MIN(stylometry_data_drama!C$2:C$37))/(MAX(stylometry_data_drama!C$2:C$37) - MIN(stylometry_data_drama!C$2:C$37))</f>
        <v>0.15555555555555556</v>
      </c>
      <c r="D12">
        <f>(stylometry_data_drama!D12 - MIN(stylometry_data_drama!D$2:D$37))/(MAX(stylometry_data_drama!D$2:D$37) - MIN(stylometry_data_drama!D$2:D$37))</f>
        <v>0.57281553398058249</v>
      </c>
      <c r="E12">
        <f>(stylometry_data_drama!E12 - MIN(stylometry_data_drama!E$2:E$37))/(MAX(stylometry_data_drama!E$2:E$37) - MIN(stylometry_data_drama!E$2:E$37))</f>
        <v>0.3</v>
      </c>
      <c r="F12">
        <f>(stylometry_data_drama!F12 - MIN(stylometry_data_drama!F$2:F$37))/(MAX(stylometry_data_drama!F$2:F$37) - MIN(stylometry_data_drama!F$2:F$37))</f>
        <v>0.546875</v>
      </c>
      <c r="G12">
        <f>(stylometry_data_drama!G12 - MIN(stylometry_data_drama!G$2:G$37))/(MAX(stylometry_data_drama!G$2:G$37) - MIN(stylometry_data_drama!G$2:G$37))</f>
        <v>1.0989010989010988E-2</v>
      </c>
      <c r="H12">
        <f>(stylometry_data_drama!H12 - MIN(stylometry_data_drama!H$2:H$37))/(MAX(stylometry_data_drama!H$2:H$37) - MIN(stylometry_data_drama!H$2:H$37))</f>
        <v>0.58181818181818179</v>
      </c>
      <c r="I12">
        <f>(stylometry_data_drama!I12 - MIN(stylometry_data_drama!I$2:I$37))/(MAX(stylometry_data_drama!I$2:I$37) - MIN(stylometry_data_drama!I$2:I$37))</f>
        <v>0.625</v>
      </c>
      <c r="J12">
        <f>(stylometry_data_drama!J12 - MIN(stylometry_data_drama!J$2:J$37))/(MAX(stylometry_data_drama!J$2:J$37) - MIN(stylometry_data_drama!J$2:J$37))</f>
        <v>0</v>
      </c>
      <c r="K12">
        <f>(stylometry_data_drama!K12 - MIN(stylometry_data_drama!K$2:K$37))/(MAX(stylometry_data_drama!K$2:K$37) - MIN(stylometry_data_drama!K$2:K$37))</f>
        <v>0</v>
      </c>
      <c r="L12">
        <f>(stylometry_data_drama!L12 - MIN(stylometry_data_drama!L$2:L$37))/(MAX(stylometry_data_drama!L$2:L$37) - MIN(stylometry_data_drama!L$2:L$37))</f>
        <v>0.45161290322580644</v>
      </c>
      <c r="M12">
        <f>(stylometry_data_drama!M12 - MIN(stylometry_data_drama!M$2:M$37))/(MAX(stylometry_data_drama!M$2:M$37) - MIN(stylometry_data_drama!M$2:M$37))</f>
        <v>1</v>
      </c>
      <c r="N12">
        <f>(stylometry_data_drama!N12 - MIN(stylometry_data_drama!N$2:N$37))/(MAX(stylometry_data_drama!N$2:N$37) - MIN(stylometry_data_drama!N$2:N$37))</f>
        <v>0.71864406779661016</v>
      </c>
      <c r="O12">
        <f>(stylometry_data_drama!O12 - MIN(stylometry_data_drama!O$2:O$37))/(MAX(stylometry_data_drama!O$2:O$37) - MIN(stylometry_data_drama!O$2:O$37))</f>
        <v>0.75367647058823528</v>
      </c>
      <c r="P12">
        <f>(stylometry_data_drama!P12 - MIN(stylometry_data_drama!P$2:P$37))/(MAX(stylometry_data_drama!P$2:P$37) - MIN(stylometry_data_drama!P$2:P$37))</f>
        <v>0.29674796747967475</v>
      </c>
      <c r="Q12">
        <f>(stylometry_data_drama!Q12 - MIN(stylometry_data_drama!Q$2:Q$37))/(MAX(stylometry_data_drama!Q$2:Q$37) - MIN(stylometry_data_drama!Q$2:Q$37))</f>
        <v>0.57242178447276937</v>
      </c>
      <c r="R12">
        <f>(stylometry_data_drama!R12 - MIN(stylometry_data_drama!R$2:R$37))/(MAX(stylometry_data_drama!R$2:R$37) - MIN(stylometry_data_drama!R$2:R$37))</f>
        <v>0.37777777777777782</v>
      </c>
      <c r="S12">
        <f>(stylometry_data_drama!S12 - MIN(stylometry_data_drama!S$2:S$37))/(MAX(stylometry_data_drama!S$2:S$37) - MIN(stylometry_data_drama!S$2:S$37))</f>
        <v>0.27999999999999997</v>
      </c>
      <c r="T12">
        <f>(stylometry_data_drama!T12 - MIN(stylometry_data_drama!T$2:T$37))/(MAX(stylometry_data_drama!T$2:T$37) - MIN(stylometry_data_drama!T$2:T$37))</f>
        <v>0.21542178377290117</v>
      </c>
      <c r="U12">
        <f>(stylometry_data_drama!U12 - MIN(stylometry_data_drama!U$2:U$37))/(MAX(stylometry_data_drama!U$2:U$37) - MIN(stylometry_data_drama!U$2:U$37))</f>
        <v>1.3786794411440081E-2</v>
      </c>
      <c r="V12">
        <f>(stylometry_data_drama!V12 - MIN(stylometry_data_drama!V$2:V$37))/(MAX(stylometry_data_drama!V$2:V$37) - MIN(stylometry_data_drama!V$2:V$37))</f>
        <v>0.27142857142857146</v>
      </c>
      <c r="W12">
        <f>(stylometry_data_drama!W12 - MIN(stylometry_data_drama!W$2:W$37))/(MAX(stylometry_data_drama!W$2:W$37) - MIN(stylometry_data_drama!W$2:W$37))</f>
        <v>0.23076923076923078</v>
      </c>
      <c r="X12">
        <f>(stylometry_data_drama!X12 - MIN(stylometry_data_drama!X$2:X$37))/(MAX(stylometry_data_drama!X$2:X$37) - MIN(stylometry_data_drama!X$2:X$37))</f>
        <v>8.0267558528427735E-2</v>
      </c>
      <c r="Y12">
        <f>(stylometry_data_drama!Y12 - MIN(stylometry_data_drama!Y$2:Y$37))/(MAX(stylometry_data_drama!Y$2:Y$37) - MIN(stylometry_data_drama!Y$2:Y$37))</f>
        <v>4.651162790697675E-2</v>
      </c>
      <c r="Z12">
        <f>(stylometry_data_drama!Z12 - MIN(stylometry_data_drama!Z$2:Z$37))/(MAX(stylometry_data_drama!Z$2:Z$37) - MIN(stylometry_data_drama!Z$2:Z$37))</f>
        <v>5.7062553497603634E-2</v>
      </c>
      <c r="AA12" t="s">
        <v>35</v>
      </c>
    </row>
    <row r="13" spans="1:27" x14ac:dyDescent="0.2">
      <c r="A13">
        <f>(stylometry_data_drama!A13 - MIN(stylometry_data_drama!A$2:A$37))/(MAX(stylometry_data_drama!A$2:A$37) - MIN(stylometry_data_drama!A$2:A$37))</f>
        <v>0.76299797434166106</v>
      </c>
      <c r="B13">
        <f>(stylometry_data_drama!B13 - MIN(stylometry_data_drama!B$2:B$37))/(MAX(stylometry_data_drama!B$2:B$37) - MIN(stylometry_data_drama!B$2:B$37))</f>
        <v>0.77689594356261027</v>
      </c>
      <c r="C13">
        <f>(stylometry_data_drama!C13 - MIN(stylometry_data_drama!C$2:C$37))/(MAX(stylometry_data_drama!C$2:C$37) - MIN(stylometry_data_drama!C$2:C$37))</f>
        <v>0.15555555555555556</v>
      </c>
      <c r="D13">
        <f>(stylometry_data_drama!D13 - MIN(stylometry_data_drama!D$2:D$37))/(MAX(stylometry_data_drama!D$2:D$37) - MIN(stylometry_data_drama!D$2:D$37))</f>
        <v>0.84466019417475735</v>
      </c>
      <c r="E13">
        <f>(stylometry_data_drama!E13 - MIN(stylometry_data_drama!E$2:E$37))/(MAX(stylometry_data_drama!E$2:E$37) - MIN(stylometry_data_drama!E$2:E$37))</f>
        <v>0.44999999999999996</v>
      </c>
      <c r="F13">
        <f>(stylometry_data_drama!F13 - MIN(stylometry_data_drama!F$2:F$37))/(MAX(stylometry_data_drama!F$2:F$37) - MIN(stylometry_data_drama!F$2:F$37))</f>
        <v>0.546875</v>
      </c>
      <c r="G13">
        <f>(stylometry_data_drama!G13 - MIN(stylometry_data_drama!G$2:G$37))/(MAX(stylometry_data_drama!G$2:G$37) - MIN(stylometry_data_drama!G$2:G$37))</f>
        <v>0.17582417582417581</v>
      </c>
      <c r="H13">
        <f>(stylometry_data_drama!H13 - MIN(stylometry_data_drama!H$2:H$37))/(MAX(stylometry_data_drama!H$2:H$37) - MIN(stylometry_data_drama!H$2:H$37))</f>
        <v>0.69090909090909092</v>
      </c>
      <c r="I13">
        <f>(stylometry_data_drama!I13 - MIN(stylometry_data_drama!I$2:I$37))/(MAX(stylometry_data_drama!I$2:I$37) - MIN(stylometry_data_drama!I$2:I$37))</f>
        <v>0.75</v>
      </c>
      <c r="J13">
        <f>(stylometry_data_drama!J13 - MIN(stylometry_data_drama!J$2:J$37))/(MAX(stylometry_data_drama!J$2:J$37) - MIN(stylometry_data_drama!J$2:J$37))</f>
        <v>0</v>
      </c>
      <c r="K13">
        <f>(stylometry_data_drama!K13 - MIN(stylometry_data_drama!K$2:K$37))/(MAX(stylometry_data_drama!K$2:K$37) - MIN(stylometry_data_drama!K$2:K$37))</f>
        <v>0</v>
      </c>
      <c r="L13">
        <f>(stylometry_data_drama!L13 - MIN(stylometry_data_drama!L$2:L$37))/(MAX(stylometry_data_drama!L$2:L$37) - MIN(stylometry_data_drama!L$2:L$37))</f>
        <v>0.66129032258064513</v>
      </c>
      <c r="M13">
        <f>(stylometry_data_drama!M13 - MIN(stylometry_data_drama!M$2:M$37))/(MAX(stylometry_data_drama!M$2:M$37) - MIN(stylometry_data_drama!M$2:M$37))</f>
        <v>0.55882352941176461</v>
      </c>
      <c r="N13">
        <f>(stylometry_data_drama!N13 - MIN(stylometry_data_drama!N$2:N$37))/(MAX(stylometry_data_drama!N$2:N$37) - MIN(stylometry_data_drama!N$2:N$37))</f>
        <v>0.61016949152542377</v>
      </c>
      <c r="O13">
        <f>(stylometry_data_drama!O13 - MIN(stylometry_data_drama!O$2:O$37))/(MAX(stylometry_data_drama!O$2:O$37) - MIN(stylometry_data_drama!O$2:O$37))</f>
        <v>0.8345588235294118</v>
      </c>
      <c r="P13">
        <f>(stylometry_data_drama!P13 - MIN(stylometry_data_drama!P$2:P$37))/(MAX(stylometry_data_drama!P$2:P$37) - MIN(stylometry_data_drama!P$2:P$37))</f>
        <v>0.68292682926829251</v>
      </c>
      <c r="Q13">
        <f>(stylometry_data_drama!Q13 - MIN(stylometry_data_drama!Q$2:Q$37))/(MAX(stylometry_data_drama!Q$2:Q$37) - MIN(stylometry_data_drama!Q$2:Q$37))</f>
        <v>0.38933951332560834</v>
      </c>
      <c r="R13">
        <f>(stylometry_data_drama!R13 - MIN(stylometry_data_drama!R$2:R$37))/(MAX(stylometry_data_drama!R$2:R$37) - MIN(stylometry_data_drama!R$2:R$37))</f>
        <v>0.33333333333333331</v>
      </c>
      <c r="S13">
        <f>(stylometry_data_drama!S13 - MIN(stylometry_data_drama!S$2:S$37))/(MAX(stylometry_data_drama!S$2:S$37) - MIN(stylometry_data_drama!S$2:S$37))</f>
        <v>0.48</v>
      </c>
      <c r="T13">
        <f>(stylometry_data_drama!T13 - MIN(stylometry_data_drama!T$2:T$37))/(MAX(stylometry_data_drama!T$2:T$37) - MIN(stylometry_data_drama!T$2:T$37))</f>
        <v>0.28925911012683708</v>
      </c>
      <c r="U13">
        <f>(stylometry_data_drama!U13 - MIN(stylometry_data_drama!U$2:U$37))/(MAX(stylometry_data_drama!U$2:U$37) - MIN(stylometry_data_drama!U$2:U$37))</f>
        <v>0.11151209384748961</v>
      </c>
      <c r="V13">
        <f>(stylometry_data_drama!V13 - MIN(stylometry_data_drama!V$2:V$37))/(MAX(stylometry_data_drama!V$2:V$37) - MIN(stylometry_data_drama!V$2:V$37))</f>
        <v>0.31428571428571428</v>
      </c>
      <c r="W13">
        <f>(stylometry_data_drama!W13 - MIN(stylometry_data_drama!W$2:W$37))/(MAX(stylometry_data_drama!W$2:W$37) - MIN(stylometry_data_drama!W$2:W$37))</f>
        <v>0.17948717948717952</v>
      </c>
      <c r="X13">
        <f>(stylometry_data_drama!X13 - MIN(stylometry_data_drama!X$2:X$37))/(MAX(stylometry_data_drama!X$2:X$37) - MIN(stylometry_data_drama!X$2:X$37))</f>
        <v>0.74916387959866193</v>
      </c>
      <c r="Y13">
        <f>(stylometry_data_drama!Y13 - MIN(stylometry_data_drama!Y$2:Y$37))/(MAX(stylometry_data_drama!Y$2:Y$37) - MIN(stylometry_data_drama!Y$2:Y$37))</f>
        <v>0.23255813953488375</v>
      </c>
      <c r="Z13">
        <f>(stylometry_data_drama!Z13 - MIN(stylometry_data_drama!Z$2:Z$37))/(MAX(stylometry_data_drama!Z$2:Z$37) - MIN(stylometry_data_drama!Z$2:Z$37))</f>
        <v>0.16741524384920514</v>
      </c>
      <c r="AA13" t="s">
        <v>36</v>
      </c>
    </row>
    <row r="14" spans="1:27" x14ac:dyDescent="0.2">
      <c r="A14">
        <f>(stylometry_data_drama!A14 - MIN(stylometry_data_drama!A$2:A$37))/(MAX(stylometry_data_drama!A$2:A$37) - MIN(stylometry_data_drama!A$2:A$37))</f>
        <v>0.79608372721134379</v>
      </c>
      <c r="B14">
        <f>(stylometry_data_drama!B14 - MIN(stylometry_data_drama!B$2:B$37))/(MAX(stylometry_data_drama!B$2:B$37) - MIN(stylometry_data_drama!B$2:B$37))</f>
        <v>0.6243386243386243</v>
      </c>
      <c r="C14">
        <f>(stylometry_data_drama!C14 - MIN(stylometry_data_drama!C$2:C$37))/(MAX(stylometry_data_drama!C$2:C$37) - MIN(stylometry_data_drama!C$2:C$37))</f>
        <v>4.4444444444444446E-2</v>
      </c>
      <c r="D14">
        <f>(stylometry_data_drama!D14 - MIN(stylometry_data_drama!D$2:D$37))/(MAX(stylometry_data_drama!D$2:D$37) - MIN(stylometry_data_drama!D$2:D$37))</f>
        <v>0.58252427184466016</v>
      </c>
      <c r="E14">
        <f>(stylometry_data_drama!E14 - MIN(stylometry_data_drama!E$2:E$37))/(MAX(stylometry_data_drama!E$2:E$37) - MIN(stylometry_data_drama!E$2:E$37))</f>
        <v>1</v>
      </c>
      <c r="F14">
        <f>(stylometry_data_drama!F14 - MIN(stylometry_data_drama!F$2:F$37))/(MAX(stylometry_data_drama!F$2:F$37) - MIN(stylometry_data_drama!F$2:F$37))</f>
        <v>0.609375</v>
      </c>
      <c r="G14">
        <f>(stylometry_data_drama!G14 - MIN(stylometry_data_drama!G$2:G$37))/(MAX(stylometry_data_drama!G$2:G$37) - MIN(stylometry_data_drama!G$2:G$37))</f>
        <v>0</v>
      </c>
      <c r="H14">
        <f>(stylometry_data_drama!H14 - MIN(stylometry_data_drama!H$2:H$37))/(MAX(stylometry_data_drama!H$2:H$37) - MIN(stylometry_data_drama!H$2:H$37))</f>
        <v>0.23636363636363633</v>
      </c>
      <c r="I14">
        <f>(stylometry_data_drama!I14 - MIN(stylometry_data_drama!I$2:I$37))/(MAX(stylometry_data_drama!I$2:I$37) - MIN(stylometry_data_drama!I$2:I$37))</f>
        <v>0.5625</v>
      </c>
      <c r="J14">
        <f>(stylometry_data_drama!J14 - MIN(stylometry_data_drama!J$2:J$37))/(MAX(stylometry_data_drama!J$2:J$37) - MIN(stylometry_data_drama!J$2:J$37))</f>
        <v>0</v>
      </c>
      <c r="K14">
        <f>(stylometry_data_drama!K14 - MIN(stylometry_data_drama!K$2:K$37))/(MAX(stylometry_data_drama!K$2:K$37) - MIN(stylometry_data_drama!K$2:K$37))</f>
        <v>0</v>
      </c>
      <c r="L14">
        <f>(stylometry_data_drama!L14 - MIN(stylometry_data_drama!L$2:L$37))/(MAX(stylometry_data_drama!L$2:L$37) - MIN(stylometry_data_drama!L$2:L$37))</f>
        <v>0.20967741935483875</v>
      </c>
      <c r="M14">
        <f>(stylometry_data_drama!M14 - MIN(stylometry_data_drama!M$2:M$37))/(MAX(stylometry_data_drama!M$2:M$37) - MIN(stylometry_data_drama!M$2:M$37))</f>
        <v>0.56862745098039214</v>
      </c>
      <c r="N14">
        <f>(stylometry_data_drama!N14 - MIN(stylometry_data_drama!N$2:N$37))/(MAX(stylometry_data_drama!N$2:N$37) - MIN(stylometry_data_drama!N$2:N$37))</f>
        <v>0.58305084745762714</v>
      </c>
      <c r="O14">
        <f>(stylometry_data_drama!O14 - MIN(stylometry_data_drama!O$2:O$37))/(MAX(stylometry_data_drama!O$2:O$37) - MIN(stylometry_data_drama!O$2:O$37))</f>
        <v>0.5845588235294118</v>
      </c>
      <c r="P14">
        <f>(stylometry_data_drama!P14 - MIN(stylometry_data_drama!P$2:P$37))/(MAX(stylometry_data_drama!P$2:P$37) - MIN(stylometry_data_drama!P$2:P$37))</f>
        <v>0.34959349593495925</v>
      </c>
      <c r="Q14">
        <f>(stylometry_data_drama!Q14 - MIN(stylometry_data_drama!Q$2:Q$37))/(MAX(stylometry_data_drama!Q$2:Q$37) - MIN(stylometry_data_drama!Q$2:Q$37))</f>
        <v>0.65353418308227107</v>
      </c>
      <c r="R14">
        <f>(stylometry_data_drama!R14 - MIN(stylometry_data_drama!R$2:R$37))/(MAX(stylometry_data_drama!R$2:R$37) - MIN(stylometry_data_drama!R$2:R$37))</f>
        <v>0.48888888888888893</v>
      </c>
      <c r="S14">
        <f>(stylometry_data_drama!S14 - MIN(stylometry_data_drama!S$2:S$37))/(MAX(stylometry_data_drama!S$2:S$37) - MIN(stylometry_data_drama!S$2:S$37))</f>
        <v>0.16</v>
      </c>
      <c r="T14">
        <f>(stylometry_data_drama!T14 - MIN(stylometry_data_drama!T$2:T$37))/(MAX(stylometry_data_drama!T$2:T$37) - MIN(stylometry_data_drama!T$2:T$37))</f>
        <v>0</v>
      </c>
      <c r="U14">
        <f>(stylometry_data_drama!U14 - MIN(stylometry_data_drama!U$2:U$37))/(MAX(stylometry_data_drama!U$2:U$37) - MIN(stylometry_data_drama!U$2:U$37))</f>
        <v>9.4961147950030647E-2</v>
      </c>
      <c r="V14">
        <f>(stylometry_data_drama!V14 - MIN(stylometry_data_drama!V$2:V$37))/(MAX(stylometry_data_drama!V$2:V$37) - MIN(stylometry_data_drama!V$2:V$37))</f>
        <v>0.2</v>
      </c>
      <c r="W14">
        <f>(stylometry_data_drama!W14 - MIN(stylometry_data_drama!W$2:W$37))/(MAX(stylometry_data_drama!W$2:W$37) - MIN(stylometry_data_drama!W$2:W$37))</f>
        <v>0.20512820512820515</v>
      </c>
      <c r="X14">
        <f>(stylometry_data_drama!X14 - MIN(stylometry_data_drama!X$2:X$37))/(MAX(stylometry_data_drama!X$2:X$37) - MIN(stylometry_data_drama!X$2:X$37))</f>
        <v>0</v>
      </c>
      <c r="Y14">
        <f>(stylometry_data_drama!Y14 - MIN(stylometry_data_drama!Y$2:Y$37))/(MAX(stylometry_data_drama!Y$2:Y$37) - MIN(stylometry_data_drama!Y$2:Y$37))</f>
        <v>0.20930232558139536</v>
      </c>
      <c r="Z14">
        <f>(stylometry_data_drama!Z14 - MIN(stylometry_data_drama!Z$2:Z$37))/(MAX(stylometry_data_drama!Z$2:Z$37) - MIN(stylometry_data_drama!Z$2:Z$37))</f>
        <v>2.2961968821346837E-2</v>
      </c>
      <c r="AA14" t="s">
        <v>37</v>
      </c>
    </row>
    <row r="15" spans="1:27" x14ac:dyDescent="0.2">
      <c r="A15">
        <f>(stylometry_data_drama!A15 - MIN(stylometry_data_drama!A$2:A$37))/(MAX(stylometry_data_drama!A$2:A$37) - MIN(stylometry_data_drama!A$2:A$37))</f>
        <v>0.95881161377447677</v>
      </c>
      <c r="B15">
        <f>(stylometry_data_drama!B15 - MIN(stylometry_data_drama!B$2:B$37))/(MAX(stylometry_data_drama!B$2:B$37) - MIN(stylometry_data_drama!B$2:B$37))</f>
        <v>0.68165784832451515</v>
      </c>
      <c r="C15">
        <f>(stylometry_data_drama!C15 - MIN(stylometry_data_drama!C$2:C$37))/(MAX(stylometry_data_drama!C$2:C$37) - MIN(stylometry_data_drama!C$2:C$37))</f>
        <v>6.6666666666666666E-2</v>
      </c>
      <c r="D15">
        <f>(stylometry_data_drama!D15 - MIN(stylometry_data_drama!D$2:D$37))/(MAX(stylometry_data_drama!D$2:D$37) - MIN(stylometry_data_drama!D$2:D$37))</f>
        <v>0.19417475728155337</v>
      </c>
      <c r="E15">
        <f>(stylometry_data_drama!E15 - MIN(stylometry_data_drama!E$2:E$37))/(MAX(stylometry_data_drama!E$2:E$37) - MIN(stylometry_data_drama!E$2:E$37))</f>
        <v>0.12499999999999994</v>
      </c>
      <c r="F15">
        <f>(stylometry_data_drama!F15 - MIN(stylometry_data_drama!F$2:F$37))/(MAX(stylometry_data_drama!F$2:F$37) - MIN(stylometry_data_drama!F$2:F$37))</f>
        <v>0.20312500000000006</v>
      </c>
      <c r="G15">
        <f>(stylometry_data_drama!G15 - MIN(stylometry_data_drama!G$2:G$37))/(MAX(stylometry_data_drama!G$2:G$37) - MIN(stylometry_data_drama!G$2:G$37))</f>
        <v>0.18681318681318676</v>
      </c>
      <c r="H15">
        <f>(stylometry_data_drama!H15 - MIN(stylometry_data_drama!H$2:H$37))/(MAX(stylometry_data_drama!H$2:H$37) - MIN(stylometry_data_drama!H$2:H$37))</f>
        <v>0.30909090909090908</v>
      </c>
      <c r="I15">
        <f>(stylometry_data_drama!I15 - MIN(stylometry_data_drama!I$2:I$37))/(MAX(stylometry_data_drama!I$2:I$37) - MIN(stylometry_data_drama!I$2:I$37))</f>
        <v>0.1875</v>
      </c>
      <c r="J15">
        <f>(stylometry_data_drama!J15 - MIN(stylometry_data_drama!J$2:J$37))/(MAX(stylometry_data_drama!J$2:J$37) - MIN(stylometry_data_drama!J$2:J$37))</f>
        <v>0</v>
      </c>
      <c r="K15">
        <f>(stylometry_data_drama!K15 - MIN(stylometry_data_drama!K$2:K$37))/(MAX(stylometry_data_drama!K$2:K$37) - MIN(stylometry_data_drama!K$2:K$37))</f>
        <v>0</v>
      </c>
      <c r="L15">
        <f>(stylometry_data_drama!L15 - MIN(stylometry_data_drama!L$2:L$37))/(MAX(stylometry_data_drama!L$2:L$37) - MIN(stylometry_data_drama!L$2:L$37))</f>
        <v>0.38709677419354838</v>
      </c>
      <c r="M15">
        <f>(stylometry_data_drama!M15 - MIN(stylometry_data_drama!M$2:M$37))/(MAX(stylometry_data_drama!M$2:M$37) - MIN(stylometry_data_drama!M$2:M$37))</f>
        <v>0.72549019607843135</v>
      </c>
      <c r="N15">
        <f>(stylometry_data_drama!N15 - MIN(stylometry_data_drama!N$2:N$37))/(MAX(stylometry_data_drama!N$2:N$37) - MIN(stylometry_data_drama!N$2:N$37))</f>
        <v>0.81355932203389836</v>
      </c>
      <c r="O15">
        <f>(stylometry_data_drama!O15 - MIN(stylometry_data_drama!O$2:O$37))/(MAX(stylometry_data_drama!O$2:O$37) - MIN(stylometry_data_drama!O$2:O$37))</f>
        <v>0.73161764705882359</v>
      </c>
      <c r="P15">
        <f>(stylometry_data_drama!P15 - MIN(stylometry_data_drama!P$2:P$37))/(MAX(stylometry_data_drama!P$2:P$37) - MIN(stylometry_data_drama!P$2:P$37))</f>
        <v>0.39430894308943087</v>
      </c>
      <c r="Q15">
        <f>(stylometry_data_drama!Q15 - MIN(stylometry_data_drama!Q$2:Q$37))/(MAX(stylometry_data_drama!Q$2:Q$37) - MIN(stylometry_data_drama!Q$2:Q$37))</f>
        <v>0.5619930475086905</v>
      </c>
      <c r="R15">
        <f>(stylometry_data_drama!R15 - MIN(stylometry_data_drama!R$2:R$37))/(MAX(stylometry_data_drama!R$2:R$37) - MIN(stylometry_data_drama!R$2:R$37))</f>
        <v>6.6666666666666666E-2</v>
      </c>
      <c r="S15">
        <f>(stylometry_data_drama!S15 - MIN(stylometry_data_drama!S$2:S$37))/(MAX(stylometry_data_drama!S$2:S$37) - MIN(stylometry_data_drama!S$2:S$37))</f>
        <v>0.68</v>
      </c>
      <c r="T15">
        <f>(stylometry_data_drama!T15 - MIN(stylometry_data_drama!T$2:T$37))/(MAX(stylometry_data_drama!T$2:T$37) - MIN(stylometry_data_drama!T$2:T$37))</f>
        <v>0.13056170726796856</v>
      </c>
      <c r="U15">
        <f>(stylometry_data_drama!U15 - MIN(stylometry_data_drama!U$2:U$37))/(MAX(stylometry_data_drama!U$2:U$37) - MIN(stylometry_data_drama!U$2:U$37))</f>
        <v>0</v>
      </c>
      <c r="V15">
        <f>(stylometry_data_drama!V15 - MIN(stylometry_data_drama!V$2:V$37))/(MAX(stylometry_data_drama!V$2:V$37) - MIN(stylometry_data_drama!V$2:V$37))</f>
        <v>0</v>
      </c>
      <c r="W15">
        <f>(stylometry_data_drama!W15 - MIN(stylometry_data_drama!W$2:W$37))/(MAX(stylometry_data_drama!W$2:W$37) - MIN(stylometry_data_drama!W$2:W$37))</f>
        <v>0.20512820512820515</v>
      </c>
      <c r="X15">
        <f>(stylometry_data_drama!X15 - MIN(stylometry_data_drama!X$2:X$37))/(MAX(stylometry_data_drama!X$2:X$37) - MIN(stylometry_data_drama!X$2:X$37))</f>
        <v>0.5852842809364549</v>
      </c>
      <c r="Y15">
        <f>(stylometry_data_drama!Y15 - MIN(stylometry_data_drama!Y$2:Y$37))/(MAX(stylometry_data_drama!Y$2:Y$37) - MIN(stylometry_data_drama!Y$2:Y$37))</f>
        <v>0.20930232558139536</v>
      </c>
      <c r="Z15">
        <f>(stylometry_data_drama!Z15 - MIN(stylometry_data_drama!Z$2:Z$37))/(MAX(stylometry_data_drama!Z$2:Z$37) - MIN(stylometry_data_drama!Z$2:Z$37))</f>
        <v>1.2228783055760519E-2</v>
      </c>
      <c r="AA15" t="s">
        <v>38</v>
      </c>
    </row>
    <row r="16" spans="1:27" x14ac:dyDescent="0.2">
      <c r="A16">
        <f>(stylometry_data_drama!A16 - MIN(stylometry_data_drama!A$2:A$37))/(MAX(stylometry_data_drama!A$2:A$37) - MIN(stylometry_data_drama!A$2:A$37))</f>
        <v>0.74071573261309931</v>
      </c>
      <c r="B16">
        <f>(stylometry_data_drama!B16 - MIN(stylometry_data_drama!B$2:B$37))/(MAX(stylometry_data_drama!B$2:B$37) - MIN(stylometry_data_drama!B$2:B$37))</f>
        <v>0.67901234567901236</v>
      </c>
      <c r="C16">
        <f>(stylometry_data_drama!C16 - MIN(stylometry_data_drama!C$2:C$37))/(MAX(stylometry_data_drama!C$2:C$37) - MIN(stylometry_data_drama!C$2:C$37))</f>
        <v>4.4444444444444446E-2</v>
      </c>
      <c r="D16">
        <f>(stylometry_data_drama!D16 - MIN(stylometry_data_drama!D$2:D$37))/(MAX(stylometry_data_drama!D$2:D$37) - MIN(stylometry_data_drama!D$2:D$37))</f>
        <v>0.66019417475728148</v>
      </c>
      <c r="E16">
        <f>(stylometry_data_drama!E16 - MIN(stylometry_data_drama!E$2:E$37))/(MAX(stylometry_data_drama!E$2:E$37) - MIN(stylometry_data_drama!E$2:E$37))</f>
        <v>0.18749999999999997</v>
      </c>
      <c r="F16">
        <f>(stylometry_data_drama!F16 - MIN(stylometry_data_drama!F$2:F$37))/(MAX(stylometry_data_drama!F$2:F$37) - MIN(stylometry_data_drama!F$2:F$37))</f>
        <v>0.32812500000000006</v>
      </c>
      <c r="G16">
        <f>(stylometry_data_drama!G16 - MIN(stylometry_data_drama!G$2:G$37))/(MAX(stylometry_data_drama!G$2:G$37) - MIN(stylometry_data_drama!G$2:G$37))</f>
        <v>0.18681318681318676</v>
      </c>
      <c r="H16">
        <f>(stylometry_data_drama!H16 - MIN(stylometry_data_drama!H$2:H$37))/(MAX(stylometry_data_drama!H$2:H$37) - MIN(stylometry_data_drama!H$2:H$37))</f>
        <v>0.27272727272727271</v>
      </c>
      <c r="I16">
        <f>(stylometry_data_drama!I16 - MIN(stylometry_data_drama!I$2:I$37))/(MAX(stylometry_data_drama!I$2:I$37) - MIN(stylometry_data_drama!I$2:I$37))</f>
        <v>0.81249999999999989</v>
      </c>
      <c r="J16">
        <f>(stylometry_data_drama!J16 - MIN(stylometry_data_drama!J$2:J$37))/(MAX(stylometry_data_drama!J$2:J$37) - MIN(stylometry_data_drama!J$2:J$37))</f>
        <v>0</v>
      </c>
      <c r="K16">
        <f>(stylometry_data_drama!K16 - MIN(stylometry_data_drama!K$2:K$37))/(MAX(stylometry_data_drama!K$2:K$37) - MIN(stylometry_data_drama!K$2:K$37))</f>
        <v>0</v>
      </c>
      <c r="L16">
        <f>(stylometry_data_drama!L16 - MIN(stylometry_data_drama!L$2:L$37))/(MAX(stylometry_data_drama!L$2:L$37) - MIN(stylometry_data_drama!L$2:L$37))</f>
        <v>0.30645161290322576</v>
      </c>
      <c r="M16">
        <f>(stylometry_data_drama!M16 - MIN(stylometry_data_drama!M$2:M$37))/(MAX(stylometry_data_drama!M$2:M$37) - MIN(stylometry_data_drama!M$2:M$37))</f>
        <v>0.30392156862745096</v>
      </c>
      <c r="N16">
        <f>(stylometry_data_drama!N16 - MIN(stylometry_data_drama!N$2:N$37))/(MAX(stylometry_data_drama!N$2:N$37) - MIN(stylometry_data_drama!N$2:N$37))</f>
        <v>0.57966101694915262</v>
      </c>
      <c r="O16">
        <f>(stylometry_data_drama!O16 - MIN(stylometry_data_drama!O$2:O$37))/(MAX(stylometry_data_drama!O$2:O$37) - MIN(stylometry_data_drama!O$2:O$37))</f>
        <v>0.72426470588235303</v>
      </c>
      <c r="P16">
        <f>(stylometry_data_drama!P16 - MIN(stylometry_data_drama!P$2:P$37))/(MAX(stylometry_data_drama!P$2:P$37) - MIN(stylometry_data_drama!P$2:P$37))</f>
        <v>0.53658536585365857</v>
      </c>
      <c r="Q16">
        <f>(stylometry_data_drama!Q16 - MIN(stylometry_data_drama!Q$2:Q$37))/(MAX(stylometry_data_drama!Q$2:Q$37) - MIN(stylometry_data_drama!Q$2:Q$37))</f>
        <v>0.40208574739281572</v>
      </c>
      <c r="R16">
        <f>(stylometry_data_drama!R16 - MIN(stylometry_data_drama!R$2:R$37))/(MAX(stylometry_data_drama!R$2:R$37) - MIN(stylometry_data_drama!R$2:R$37))</f>
        <v>0.35555555555555557</v>
      </c>
      <c r="S16">
        <f>(stylometry_data_drama!S16 - MIN(stylometry_data_drama!S$2:S$37))/(MAX(stylometry_data_drama!S$2:S$37) - MIN(stylometry_data_drama!S$2:S$37))</f>
        <v>0.6</v>
      </c>
      <c r="T16">
        <f>(stylometry_data_drama!T16 - MIN(stylometry_data_drama!T$2:T$37))/(MAX(stylometry_data_drama!T$2:T$37) - MIN(stylometry_data_drama!T$2:T$37))</f>
        <v>0.17374672840748942</v>
      </c>
      <c r="U16">
        <f>(stylometry_data_drama!U16 - MIN(stylometry_data_drama!U$2:U$37))/(MAX(stylometry_data_drama!U$2:U$37) - MIN(stylometry_data_drama!U$2:U$37))</f>
        <v>5.2125016776087905E-2</v>
      </c>
      <c r="V16">
        <f>(stylometry_data_drama!V16 - MIN(stylometry_data_drama!V$2:V$37))/(MAX(stylometry_data_drama!V$2:V$37) - MIN(stylometry_data_drama!V$2:V$37))</f>
        <v>0.17142857142857146</v>
      </c>
      <c r="W16">
        <f>(stylometry_data_drama!W16 - MIN(stylometry_data_drama!W$2:W$37))/(MAX(stylometry_data_drama!W$2:W$37) - MIN(stylometry_data_drama!W$2:W$37))</f>
        <v>0.15384615384615388</v>
      </c>
      <c r="X16">
        <f>(stylometry_data_drama!X16 - MIN(stylometry_data_drama!X$2:X$37))/(MAX(stylometry_data_drama!X$2:X$37) - MIN(stylometry_data_drama!X$2:X$37))</f>
        <v>0.30100334448160532</v>
      </c>
      <c r="Y16">
        <f>(stylometry_data_drama!Y16 - MIN(stylometry_data_drama!Y$2:Y$37))/(MAX(stylometry_data_drama!Y$2:Y$37) - MIN(stylometry_data_drama!Y$2:Y$37))</f>
        <v>0.34883720930232553</v>
      </c>
      <c r="Z16">
        <f>(stylometry_data_drama!Z16 - MIN(stylometry_data_drama!Z$2:Z$37))/(MAX(stylometry_data_drama!Z$2:Z$37) - MIN(stylometry_data_drama!Z$2:Z$37))</f>
        <v>9.2065167772673054E-2</v>
      </c>
      <c r="AA16" t="s">
        <v>39</v>
      </c>
    </row>
    <row r="17" spans="1:27" x14ac:dyDescent="0.2">
      <c r="A17">
        <f>(stylometry_data_drama!A17 - MIN(stylometry_data_drama!A$2:A$37))/(MAX(stylometry_data_drama!A$2:A$37) - MIN(stylometry_data_drama!A$2:A$37))</f>
        <v>0.87778528021607027</v>
      </c>
      <c r="B17">
        <f>(stylometry_data_drama!B17 - MIN(stylometry_data_drama!B$2:B$37))/(MAX(stylometry_data_drama!B$2:B$37) - MIN(stylometry_data_drama!B$2:B$37))</f>
        <v>0.69047619047619058</v>
      </c>
      <c r="C17">
        <f>(stylometry_data_drama!C17 - MIN(stylometry_data_drama!C$2:C$37))/(MAX(stylometry_data_drama!C$2:C$37) - MIN(stylometry_data_drama!C$2:C$37))</f>
        <v>4.4444444444444446E-2</v>
      </c>
      <c r="D17">
        <f>(stylometry_data_drama!D17 - MIN(stylometry_data_drama!D$2:D$37))/(MAX(stylometry_data_drama!D$2:D$37) - MIN(stylometry_data_drama!D$2:D$37))</f>
        <v>0.31067961165048541</v>
      </c>
      <c r="E17">
        <f>(stylometry_data_drama!E17 - MIN(stylometry_data_drama!E$2:E$37))/(MAX(stylometry_data_drama!E$2:E$37) - MIN(stylometry_data_drama!E$2:E$37))</f>
        <v>0.27500000000000002</v>
      </c>
      <c r="F17">
        <f>(stylometry_data_drama!F17 - MIN(stylometry_data_drama!F$2:F$37))/(MAX(stylometry_data_drama!F$2:F$37) - MIN(stylometry_data_drama!F$2:F$37))</f>
        <v>0.70312500000000011</v>
      </c>
      <c r="G17">
        <f>(stylometry_data_drama!G17 - MIN(stylometry_data_drama!G$2:G$37))/(MAX(stylometry_data_drama!G$2:G$37) - MIN(stylometry_data_drama!G$2:G$37))</f>
        <v>0.19780219780219779</v>
      </c>
      <c r="H17">
        <f>(stylometry_data_drama!H17 - MIN(stylometry_data_drama!H$2:H$37))/(MAX(stylometry_data_drama!H$2:H$37) - MIN(stylometry_data_drama!H$2:H$37))</f>
        <v>0.23636363636363633</v>
      </c>
      <c r="I17">
        <f>(stylometry_data_drama!I17 - MIN(stylometry_data_drama!I$2:I$37))/(MAX(stylometry_data_drama!I$2:I$37) - MIN(stylometry_data_drama!I$2:I$37))</f>
        <v>0.6875</v>
      </c>
      <c r="J17">
        <f>(stylometry_data_drama!J17 - MIN(stylometry_data_drama!J$2:J$37))/(MAX(stylometry_data_drama!J$2:J$37) - MIN(stylometry_data_drama!J$2:J$37))</f>
        <v>0</v>
      </c>
      <c r="K17">
        <f>(stylometry_data_drama!K17 - MIN(stylometry_data_drama!K$2:K$37))/(MAX(stylometry_data_drama!K$2:K$37) - MIN(stylometry_data_drama!K$2:K$37))</f>
        <v>0</v>
      </c>
      <c r="L17">
        <f>(stylometry_data_drama!L17 - MIN(stylometry_data_drama!L$2:L$37))/(MAX(stylometry_data_drama!L$2:L$37) - MIN(stylometry_data_drama!L$2:L$37))</f>
        <v>0.43548387096774205</v>
      </c>
      <c r="M17">
        <f>(stylometry_data_drama!M17 - MIN(stylometry_data_drama!M$2:M$37))/(MAX(stylometry_data_drama!M$2:M$37) - MIN(stylometry_data_drama!M$2:M$37))</f>
        <v>0.45098039215686275</v>
      </c>
      <c r="N17">
        <f>(stylometry_data_drama!N17 - MIN(stylometry_data_drama!N$2:N$37))/(MAX(stylometry_data_drama!N$2:N$37) - MIN(stylometry_data_drama!N$2:N$37))</f>
        <v>0.82711864406779678</v>
      </c>
      <c r="O17">
        <f>(stylometry_data_drama!O17 - MIN(stylometry_data_drama!O$2:O$37))/(MAX(stylometry_data_drama!O$2:O$37) - MIN(stylometry_data_drama!O$2:O$37))</f>
        <v>0.8345588235294118</v>
      </c>
      <c r="P17">
        <f>(stylometry_data_drama!P17 - MIN(stylometry_data_drama!P$2:P$37))/(MAX(stylometry_data_drama!P$2:P$37) - MIN(stylometry_data_drama!P$2:P$37))</f>
        <v>0.36991869918699183</v>
      </c>
      <c r="Q17">
        <f>(stylometry_data_drama!Q17 - MIN(stylometry_data_drama!Q$2:Q$37))/(MAX(stylometry_data_drama!Q$2:Q$37) - MIN(stylometry_data_drama!Q$2:Q$37))</f>
        <v>0.54808806488991879</v>
      </c>
      <c r="R17">
        <f>(stylometry_data_drama!R17 - MIN(stylometry_data_drama!R$2:R$37))/(MAX(stylometry_data_drama!R$2:R$37) - MIN(stylometry_data_drama!R$2:R$37))</f>
        <v>0.42222222222222228</v>
      </c>
      <c r="S17">
        <f>(stylometry_data_drama!S17 - MIN(stylometry_data_drama!S$2:S$37))/(MAX(stylometry_data_drama!S$2:S$37) - MIN(stylometry_data_drama!S$2:S$37))</f>
        <v>1</v>
      </c>
      <c r="T17">
        <f>(stylometry_data_drama!T17 - MIN(stylometry_data_drama!T$2:T$37))/(MAX(stylometry_data_drama!T$2:T$37) - MIN(stylometry_data_drama!T$2:T$37))</f>
        <v>0.23389369840950278</v>
      </c>
      <c r="U17">
        <f>(stylometry_data_drama!U17 - MIN(stylometry_data_drama!U$2:U$37))/(MAX(stylometry_data_drama!U$2:U$37) - MIN(stylometry_data_drama!U$2:U$37))</f>
        <v>5.3400821138144608E-2</v>
      </c>
      <c r="V17">
        <f>(stylometry_data_drama!V17 - MIN(stylometry_data_drama!V$2:V$37))/(MAX(stylometry_data_drama!V$2:V$37) - MIN(stylometry_data_drama!V$2:V$37))</f>
        <v>9.9999999999999992E-2</v>
      </c>
      <c r="W17">
        <f>(stylometry_data_drama!W17 - MIN(stylometry_data_drama!W$2:W$37))/(MAX(stylometry_data_drama!W$2:W$37) - MIN(stylometry_data_drama!W$2:W$37))</f>
        <v>0.20512820512820515</v>
      </c>
      <c r="X17">
        <f>(stylometry_data_drama!X17 - MIN(stylometry_data_drama!X$2:X$37))/(MAX(stylometry_data_drama!X$2:X$37) - MIN(stylometry_data_drama!X$2:X$37))</f>
        <v>0.49498327759197347</v>
      </c>
      <c r="Y17">
        <f>(stylometry_data_drama!Y17 - MIN(stylometry_data_drama!Y$2:Y$37))/(MAX(stylometry_data_drama!Y$2:Y$37) - MIN(stylometry_data_drama!Y$2:Y$37))</f>
        <v>0.13953488372093023</v>
      </c>
      <c r="Z17">
        <f>(stylometry_data_drama!Z17 - MIN(stylometry_data_drama!Z$2:Z$37))/(MAX(stylometry_data_drama!Z$2:Z$37) - MIN(stylometry_data_drama!Z$2:Z$37))</f>
        <v>0.12675819260329291</v>
      </c>
      <c r="AA17" t="s">
        <v>40</v>
      </c>
    </row>
    <row r="18" spans="1:27" x14ac:dyDescent="0.2">
      <c r="A18">
        <f>(stylometry_data_drama!A18 - MIN(stylometry_data_drama!A$2:A$37))/(MAX(stylometry_data_drama!A$2:A$37) - MIN(stylometry_data_drama!A$2:A$37))</f>
        <v>0.76569885212694133</v>
      </c>
      <c r="B18">
        <f>(stylometry_data_drama!B18 - MIN(stylometry_data_drama!B$2:B$37))/(MAX(stylometry_data_drama!B$2:B$37) - MIN(stylometry_data_drama!B$2:B$37))</f>
        <v>0.66843033509700178</v>
      </c>
      <c r="C18">
        <f>(stylometry_data_drama!C18 - MIN(stylometry_data_drama!C$2:C$37))/(MAX(stylometry_data_drama!C$2:C$37) - MIN(stylometry_data_drama!C$2:C$37))</f>
        <v>4.4444444444444446E-2</v>
      </c>
      <c r="D18">
        <f>(stylometry_data_drama!D18 - MIN(stylometry_data_drama!D$2:D$37))/(MAX(stylometry_data_drama!D$2:D$37) - MIN(stylometry_data_drama!D$2:D$37))</f>
        <v>0.41747572815533973</v>
      </c>
      <c r="E18">
        <f>(stylometry_data_drama!E18 - MIN(stylometry_data_drama!E$2:E$37))/(MAX(stylometry_data_drama!E$2:E$37) - MIN(stylometry_data_drama!E$2:E$37))</f>
        <v>0.58750000000000002</v>
      </c>
      <c r="F18">
        <f>(stylometry_data_drama!F18 - MIN(stylometry_data_drama!F$2:F$37))/(MAX(stylometry_data_drama!F$2:F$37) - MIN(stylometry_data_drama!F$2:F$37))</f>
        <v>0.29687500000000006</v>
      </c>
      <c r="G18">
        <f>(stylometry_data_drama!G18 - MIN(stylometry_data_drama!G$2:G$37))/(MAX(stylometry_data_drama!G$2:G$37) - MIN(stylometry_data_drama!G$2:G$37))</f>
        <v>4.3956043956043939E-2</v>
      </c>
      <c r="H18">
        <f>(stylometry_data_drama!H18 - MIN(stylometry_data_drama!H$2:H$37))/(MAX(stylometry_data_drama!H$2:H$37) - MIN(stylometry_data_drama!H$2:H$37))</f>
        <v>0.23636363636363633</v>
      </c>
      <c r="I18">
        <f>(stylometry_data_drama!I18 - MIN(stylometry_data_drama!I$2:I$37))/(MAX(stylometry_data_drama!I$2:I$37) - MIN(stylometry_data_drama!I$2:I$37))</f>
        <v>0.43749999999999994</v>
      </c>
      <c r="J18">
        <f>(stylometry_data_drama!J18 - MIN(stylometry_data_drama!J$2:J$37))/(MAX(stylometry_data_drama!J$2:J$37) - MIN(stylometry_data_drama!J$2:J$37))</f>
        <v>0</v>
      </c>
      <c r="K18">
        <f>(stylometry_data_drama!K18 - MIN(stylometry_data_drama!K$2:K$37))/(MAX(stylometry_data_drama!K$2:K$37) - MIN(stylometry_data_drama!K$2:K$37))</f>
        <v>0</v>
      </c>
      <c r="L18">
        <f>(stylometry_data_drama!L18 - MIN(stylometry_data_drama!L$2:L$37))/(MAX(stylometry_data_drama!L$2:L$37) - MIN(stylometry_data_drama!L$2:L$37))</f>
        <v>0.79032258064516125</v>
      </c>
      <c r="M18">
        <f>(stylometry_data_drama!M18 - MIN(stylometry_data_drama!M$2:M$37))/(MAX(stylometry_data_drama!M$2:M$37) - MIN(stylometry_data_drama!M$2:M$37))</f>
        <v>0.30392156862745096</v>
      </c>
      <c r="N18">
        <f>(stylometry_data_drama!N18 - MIN(stylometry_data_drama!N$2:N$37))/(MAX(stylometry_data_drama!N$2:N$37) - MIN(stylometry_data_drama!N$2:N$37))</f>
        <v>0.66440677966101691</v>
      </c>
      <c r="O18">
        <f>(stylometry_data_drama!O18 - MIN(stylometry_data_drama!O$2:O$37))/(MAX(stylometry_data_drama!O$2:O$37) - MIN(stylometry_data_drama!O$2:O$37))</f>
        <v>0.83088235294117652</v>
      </c>
      <c r="P18">
        <f>(stylometry_data_drama!P18 - MIN(stylometry_data_drama!P$2:P$37))/(MAX(stylometry_data_drama!P$2:P$37) - MIN(stylometry_data_drama!P$2:P$37))</f>
        <v>0.49593495934959342</v>
      </c>
      <c r="Q18">
        <f>(stylometry_data_drama!Q18 - MIN(stylometry_data_drama!Q$2:Q$37))/(MAX(stylometry_data_drama!Q$2:Q$37) - MIN(stylometry_data_drama!Q$2:Q$37))</f>
        <v>0.47624565469293162</v>
      </c>
      <c r="R18">
        <f>(stylometry_data_drama!R18 - MIN(stylometry_data_drama!R$2:R$37))/(MAX(stylometry_data_drama!R$2:R$37) - MIN(stylometry_data_drama!R$2:R$37))</f>
        <v>0.64444444444444449</v>
      </c>
      <c r="S18">
        <f>(stylometry_data_drama!S18 - MIN(stylometry_data_drama!S$2:S$37))/(MAX(stylometry_data_drama!S$2:S$37) - MIN(stylometry_data_drama!S$2:S$37))</f>
        <v>0.2</v>
      </c>
      <c r="T18">
        <f>(stylometry_data_drama!T18 - MIN(stylometry_data_drama!T$2:T$37))/(MAX(stylometry_data_drama!T$2:T$37) - MIN(stylometry_data_drama!T$2:T$37))</f>
        <v>0.25568753774914443</v>
      </c>
      <c r="U18">
        <f>(stylometry_data_drama!U18 - MIN(stylometry_data_drama!U$2:U$37))/(MAX(stylometry_data_drama!U$2:U$37) - MIN(stylometry_data_drama!U$2:U$37))</f>
        <v>0.21924169343993336</v>
      </c>
      <c r="V18">
        <f>(stylometry_data_drama!V18 - MIN(stylometry_data_drama!V$2:V$37))/(MAX(stylometry_data_drama!V$2:V$37) - MIN(stylometry_data_drama!V$2:V$37))</f>
        <v>0.2</v>
      </c>
      <c r="W18">
        <f>(stylometry_data_drama!W18 - MIN(stylometry_data_drama!W$2:W$37))/(MAX(stylometry_data_drama!W$2:W$37) - MIN(stylometry_data_drama!W$2:W$37))</f>
        <v>0.48717948717948723</v>
      </c>
      <c r="X18">
        <f>(stylometry_data_drama!X18 - MIN(stylometry_data_drama!X$2:X$37))/(MAX(stylometry_data_drama!X$2:X$37) - MIN(stylometry_data_drama!X$2:X$37))</f>
        <v>0.20401337792642124</v>
      </c>
      <c r="Y18">
        <f>(stylometry_data_drama!Y18 - MIN(stylometry_data_drama!Y$2:Y$37))/(MAX(stylometry_data_drama!Y$2:Y$37) - MIN(stylometry_data_drama!Y$2:Y$37))</f>
        <v>0.30232558139534882</v>
      </c>
      <c r="Z18">
        <f>(stylometry_data_drama!Z18 - MIN(stylometry_data_drama!Z$2:Z$37))/(MAX(stylometry_data_drama!Z$2:Z$37) - MIN(stylometry_data_drama!Z$2:Z$37))</f>
        <v>0.11394921122343882</v>
      </c>
      <c r="AA18" t="s">
        <v>41</v>
      </c>
    </row>
    <row r="19" spans="1:27" x14ac:dyDescent="0.2">
      <c r="A19">
        <f>(stylometry_data_drama!A19 - MIN(stylometry_data_drama!A$2:A$37))/(MAX(stylometry_data_drama!A$2:A$37) - MIN(stylometry_data_drama!A$2:A$37))</f>
        <v>0.77042538825118168</v>
      </c>
      <c r="B19">
        <f>(stylometry_data_drama!B19 - MIN(stylometry_data_drama!B$2:B$37))/(MAX(stylometry_data_drama!B$2:B$37) - MIN(stylometry_data_drama!B$2:B$37))</f>
        <v>0.58201058201058209</v>
      </c>
      <c r="C19">
        <f>(stylometry_data_drama!C19 - MIN(stylometry_data_drama!C$2:C$37))/(MAX(stylometry_data_drama!C$2:C$37) - MIN(stylometry_data_drama!C$2:C$37))</f>
        <v>0</v>
      </c>
      <c r="D19">
        <f>(stylometry_data_drama!D19 - MIN(stylometry_data_drama!D$2:D$37))/(MAX(stylometry_data_drama!D$2:D$37) - MIN(stylometry_data_drama!D$2:D$37))</f>
        <v>0.44660194174757273</v>
      </c>
      <c r="E19">
        <f>(stylometry_data_drama!E19 - MIN(stylometry_data_drama!E$2:E$37))/(MAX(stylometry_data_drama!E$2:E$37) - MIN(stylometry_data_drama!E$2:E$37))</f>
        <v>0</v>
      </c>
      <c r="F19">
        <f>(stylometry_data_drama!F19 - MIN(stylometry_data_drama!F$2:F$37))/(MAX(stylometry_data_drama!F$2:F$37) - MIN(stylometry_data_drama!F$2:F$37))</f>
        <v>0.65625</v>
      </c>
      <c r="G19">
        <f>(stylometry_data_drama!G19 - MIN(stylometry_data_drama!G$2:G$37))/(MAX(stylometry_data_drama!G$2:G$37) - MIN(stylometry_data_drama!G$2:G$37))</f>
        <v>0.23076923076923073</v>
      </c>
      <c r="H19">
        <f>(stylometry_data_drama!H19 - MIN(stylometry_data_drama!H$2:H$37))/(MAX(stylometry_data_drama!H$2:H$37) - MIN(stylometry_data_drama!H$2:H$37))</f>
        <v>0.36363636363636365</v>
      </c>
      <c r="I19">
        <f>(stylometry_data_drama!I19 - MIN(stylometry_data_drama!I$2:I$37))/(MAX(stylometry_data_drama!I$2:I$37) - MIN(stylometry_data_drama!I$2:I$37))</f>
        <v>0.43749999999999994</v>
      </c>
      <c r="J19">
        <f>(stylometry_data_drama!J19 - MIN(stylometry_data_drama!J$2:J$37))/(MAX(stylometry_data_drama!J$2:J$37) - MIN(stylometry_data_drama!J$2:J$37))</f>
        <v>0</v>
      </c>
      <c r="K19">
        <f>(stylometry_data_drama!K19 - MIN(stylometry_data_drama!K$2:K$37))/(MAX(stylometry_data_drama!K$2:K$37) - MIN(stylometry_data_drama!K$2:K$37))</f>
        <v>1</v>
      </c>
      <c r="L19">
        <f>(stylometry_data_drama!L19 - MIN(stylometry_data_drama!L$2:L$37))/(MAX(stylometry_data_drama!L$2:L$37) - MIN(stylometry_data_drama!L$2:L$37))</f>
        <v>0.37096774193548382</v>
      </c>
      <c r="M19">
        <f>(stylometry_data_drama!M19 - MIN(stylometry_data_drama!M$2:M$37))/(MAX(stylometry_data_drama!M$2:M$37) - MIN(stylometry_data_drama!M$2:M$37))</f>
        <v>0.42156862745098034</v>
      </c>
      <c r="N19">
        <f>(stylometry_data_drama!N19 - MIN(stylometry_data_drama!N$2:N$37))/(MAX(stylometry_data_drama!N$2:N$37) - MIN(stylometry_data_drama!N$2:N$37))</f>
        <v>0.6271186440677966</v>
      </c>
      <c r="O19">
        <f>(stylometry_data_drama!O19 - MIN(stylometry_data_drama!O$2:O$37))/(MAX(stylometry_data_drama!O$2:O$37) - MIN(stylometry_data_drama!O$2:O$37))</f>
        <v>0.5845588235294118</v>
      </c>
      <c r="P19">
        <f>(stylometry_data_drama!P19 - MIN(stylometry_data_drama!P$2:P$37))/(MAX(stylometry_data_drama!P$2:P$37) - MIN(stylometry_data_drama!P$2:P$37))</f>
        <v>0.6097560975609756</v>
      </c>
      <c r="Q19">
        <f>(stylometry_data_drama!Q19 - MIN(stylometry_data_drama!Q$2:Q$37))/(MAX(stylometry_data_drama!Q$2:Q$37) - MIN(stylometry_data_drama!Q$2:Q$37))</f>
        <v>0.35805330243337191</v>
      </c>
      <c r="R19">
        <f>(stylometry_data_drama!R19 - MIN(stylometry_data_drama!R$2:R$37))/(MAX(stylometry_data_drama!R$2:R$37) - MIN(stylometry_data_drama!R$2:R$37))</f>
        <v>0.35555555555555557</v>
      </c>
      <c r="S19">
        <f>(stylometry_data_drama!S19 - MIN(stylometry_data_drama!S$2:S$37))/(MAX(stylometry_data_drama!S$2:S$37) - MIN(stylometry_data_drama!S$2:S$37))</f>
        <v>0.27999999999999997</v>
      </c>
      <c r="T19">
        <f>(stylometry_data_drama!T19 - MIN(stylometry_data_drama!T$2:T$37))/(MAX(stylometry_data_drama!T$2:T$37) - MIN(stylometry_data_drama!T$2:T$37))</f>
        <v>0.1912119991946849</v>
      </c>
      <c r="U19">
        <f>(stylometry_data_drama!U19 - MIN(stylometry_data_drama!U$2:U$37))/(MAX(stylometry_data_drama!U$2:U$37) - MIN(stylometry_data_drama!U$2:U$37))</f>
        <v>0.12936130352256758</v>
      </c>
      <c r="V19">
        <f>(stylometry_data_drama!V19 - MIN(stylometry_data_drama!V$2:V$37))/(MAX(stylometry_data_drama!V$2:V$37) - MIN(stylometry_data_drama!V$2:V$37))</f>
        <v>0.24285714285714288</v>
      </c>
      <c r="W19">
        <f>(stylometry_data_drama!W19 - MIN(stylometry_data_drama!W$2:W$37))/(MAX(stylometry_data_drama!W$2:W$37) - MIN(stylometry_data_drama!W$2:W$37))</f>
        <v>0</v>
      </c>
      <c r="X19">
        <f>(stylometry_data_drama!X19 - MIN(stylometry_data_drama!X$2:X$37))/(MAX(stylometry_data_drama!X$2:X$37) - MIN(stylometry_data_drama!X$2:X$37))</f>
        <v>0.25752508361204013</v>
      </c>
      <c r="Y19">
        <f>(stylometry_data_drama!Y19 - MIN(stylometry_data_drama!Y$2:Y$37))/(MAX(stylometry_data_drama!Y$2:Y$37) - MIN(stylometry_data_drama!Y$2:Y$37))</f>
        <v>0.372093023255814</v>
      </c>
      <c r="Z19">
        <f>(stylometry_data_drama!Z19 - MIN(stylometry_data_drama!Z$2:Z$37))/(MAX(stylometry_data_drama!Z$2:Z$37) - MIN(stylometry_data_drama!Z$2:Z$37))</f>
        <v>0.14085111647102824</v>
      </c>
      <c r="AA19" t="s">
        <v>42</v>
      </c>
    </row>
    <row r="20" spans="1:27" x14ac:dyDescent="0.2">
      <c r="A20">
        <f>(stylometry_data_drama!A20 - MIN(stylometry_data_drama!A$2:A$37))/(MAX(stylometry_data_drama!A$2:A$37) - MIN(stylometry_data_drama!A$2:A$37))</f>
        <v>0.73058744091829853</v>
      </c>
      <c r="B20">
        <f>(stylometry_data_drama!B20 - MIN(stylometry_data_drama!B$2:B$37))/(MAX(stylometry_data_drama!B$2:B$37) - MIN(stylometry_data_drama!B$2:B$37))</f>
        <v>0.76455026455026465</v>
      </c>
      <c r="C20">
        <f>(stylometry_data_drama!C20 - MIN(stylometry_data_drama!C$2:C$37))/(MAX(stylometry_data_drama!C$2:C$37) - MIN(stylometry_data_drama!C$2:C$37))</f>
        <v>0.13333333333333333</v>
      </c>
      <c r="D20">
        <f>(stylometry_data_drama!D20 - MIN(stylometry_data_drama!D$2:D$37))/(MAX(stylometry_data_drama!D$2:D$37) - MIN(stylometry_data_drama!D$2:D$37))</f>
        <v>0.5145631067961165</v>
      </c>
      <c r="E20">
        <f>(stylometry_data_drama!E20 - MIN(stylometry_data_drama!E$2:E$37))/(MAX(stylometry_data_drama!E$2:E$37) - MIN(stylometry_data_drama!E$2:E$37))</f>
        <v>0.3874999999999999</v>
      </c>
      <c r="F20">
        <f>(stylometry_data_drama!F20 - MIN(stylometry_data_drama!F$2:F$37))/(MAX(stylometry_data_drama!F$2:F$37) - MIN(stylometry_data_drama!F$2:F$37))</f>
        <v>0.70312500000000011</v>
      </c>
      <c r="G20">
        <f>(stylometry_data_drama!G20 - MIN(stylometry_data_drama!G$2:G$37))/(MAX(stylometry_data_drama!G$2:G$37) - MIN(stylometry_data_drama!G$2:G$37))</f>
        <v>0.31868131868131866</v>
      </c>
      <c r="H20">
        <f>(stylometry_data_drama!H20 - MIN(stylometry_data_drama!H$2:H$37))/(MAX(stylometry_data_drama!H$2:H$37) - MIN(stylometry_data_drama!H$2:H$37))</f>
        <v>0.27272727272727271</v>
      </c>
      <c r="I20">
        <f>(stylometry_data_drama!I20 - MIN(stylometry_data_drama!I$2:I$37))/(MAX(stylometry_data_drama!I$2:I$37) - MIN(stylometry_data_drama!I$2:I$37))</f>
        <v>0.5</v>
      </c>
      <c r="J20">
        <f>(stylometry_data_drama!J20 - MIN(stylometry_data_drama!J$2:J$37))/(MAX(stylometry_data_drama!J$2:J$37) - MIN(stylometry_data_drama!J$2:J$37))</f>
        <v>0</v>
      </c>
      <c r="K20">
        <f>(stylometry_data_drama!K20 - MIN(stylometry_data_drama!K$2:K$37))/(MAX(stylometry_data_drama!K$2:K$37) - MIN(stylometry_data_drama!K$2:K$37))</f>
        <v>0</v>
      </c>
      <c r="L20">
        <f>(stylometry_data_drama!L20 - MIN(stylometry_data_drama!L$2:L$37))/(MAX(stylometry_data_drama!L$2:L$37) - MIN(stylometry_data_drama!L$2:L$37))</f>
        <v>0.33870967741935482</v>
      </c>
      <c r="M20">
        <f>(stylometry_data_drama!M20 - MIN(stylometry_data_drama!M$2:M$37))/(MAX(stylometry_data_drama!M$2:M$37) - MIN(stylometry_data_drama!M$2:M$37))</f>
        <v>0.5</v>
      </c>
      <c r="N20">
        <f>(stylometry_data_drama!N20 - MIN(stylometry_data_drama!N$2:N$37))/(MAX(stylometry_data_drama!N$2:N$37) - MIN(stylometry_data_drama!N$2:N$37))</f>
        <v>0.62372881355932208</v>
      </c>
      <c r="O20">
        <f>(stylometry_data_drama!O20 - MIN(stylometry_data_drama!O$2:O$37))/(MAX(stylometry_data_drama!O$2:O$37) - MIN(stylometry_data_drama!O$2:O$37))</f>
        <v>0.97058823529411775</v>
      </c>
      <c r="P20">
        <f>(stylometry_data_drama!P20 - MIN(stylometry_data_drama!P$2:P$37))/(MAX(stylometry_data_drama!P$2:P$37) - MIN(stylometry_data_drama!P$2:P$37))</f>
        <v>0.65040650406504064</v>
      </c>
      <c r="Q20">
        <f>(stylometry_data_drama!Q20 - MIN(stylometry_data_drama!Q$2:Q$37))/(MAX(stylometry_data_drama!Q$2:Q$37) - MIN(stylometry_data_drama!Q$2:Q$37))</f>
        <v>0.37543453070683658</v>
      </c>
      <c r="R20">
        <f>(stylometry_data_drama!R20 - MIN(stylometry_data_drama!R$2:R$37))/(MAX(stylometry_data_drama!R$2:R$37) - MIN(stylometry_data_drama!R$2:R$37))</f>
        <v>0.37777777777777782</v>
      </c>
      <c r="S20">
        <f>(stylometry_data_drama!S20 - MIN(stylometry_data_drama!S$2:S$37))/(MAX(stylometry_data_drama!S$2:S$37) - MIN(stylometry_data_drama!S$2:S$37))</f>
        <v>0.92</v>
      </c>
      <c r="T20">
        <f>(stylometry_data_drama!T20 - MIN(stylometry_data_drama!T$2:T$37))/(MAX(stylometry_data_drama!T$2:T$37) - MIN(stylometry_data_drama!T$2:T$37))</f>
        <v>0.58279645661364998</v>
      </c>
      <c r="U20">
        <f>(stylometry_data_drama!U20 - MIN(stylometry_data_drama!U$2:U$37))/(MAX(stylometry_data_drama!U$2:U$37) - MIN(stylometry_data_drama!U$2:U$37))</f>
        <v>3.8241811214917432E-2</v>
      </c>
      <c r="V20">
        <f>(stylometry_data_drama!V20 - MIN(stylometry_data_drama!V$2:V$37))/(MAX(stylometry_data_drama!V$2:V$37) - MIN(stylometry_data_drama!V$2:V$37))</f>
        <v>7.1428571428571438E-2</v>
      </c>
      <c r="W20">
        <f>(stylometry_data_drama!W20 - MIN(stylometry_data_drama!W$2:W$37))/(MAX(stylometry_data_drama!W$2:W$37) - MIN(stylometry_data_drama!W$2:W$37))</f>
        <v>0.20512820512820515</v>
      </c>
      <c r="X20">
        <f>(stylometry_data_drama!X20 - MIN(stylometry_data_drama!X$2:X$37))/(MAX(stylometry_data_drama!X$2:X$37) - MIN(stylometry_data_drama!X$2:X$37))</f>
        <v>0.62876254180602009</v>
      </c>
      <c r="Y20">
        <f>(stylometry_data_drama!Y20 - MIN(stylometry_data_drama!Y$2:Y$37))/(MAX(stylometry_data_drama!Y$2:Y$37) - MIN(stylometry_data_drama!Y$2:Y$37))</f>
        <v>0.30232558139534882</v>
      </c>
      <c r="Z20">
        <f>(stylometry_data_drama!Z20 - MIN(stylometry_data_drama!Z$2:Z$37))/(MAX(stylometry_data_drama!Z$2:Z$37) - MIN(stylometry_data_drama!Z$2:Z$37))</f>
        <v>0.23674185620295152</v>
      </c>
      <c r="AA20" t="s">
        <v>43</v>
      </c>
    </row>
    <row r="21" spans="1:27" x14ac:dyDescent="0.2">
      <c r="A21">
        <f>(stylometry_data_drama!A21 - MIN(stylometry_data_drama!A$2:A$37))/(MAX(stylometry_data_drama!A$2:A$37) - MIN(stylometry_data_drama!A$2:A$37))</f>
        <v>0.75354490209318037</v>
      </c>
      <c r="B21">
        <f>(stylometry_data_drama!B21 - MIN(stylometry_data_drama!B$2:B$37))/(MAX(stylometry_data_drama!B$2:B$37) - MIN(stylometry_data_drama!B$2:B$37))</f>
        <v>0.58730158730158721</v>
      </c>
      <c r="C21">
        <f>(stylometry_data_drama!C21 - MIN(stylometry_data_drama!C$2:C$37))/(MAX(stylometry_data_drama!C$2:C$37) - MIN(stylometry_data_drama!C$2:C$37))</f>
        <v>0</v>
      </c>
      <c r="D21">
        <f>(stylometry_data_drama!D21 - MIN(stylometry_data_drama!D$2:D$37))/(MAX(stylometry_data_drama!D$2:D$37) - MIN(stylometry_data_drama!D$2:D$37))</f>
        <v>0.62135922330097071</v>
      </c>
      <c r="E21">
        <f>(stylometry_data_drama!E21 - MIN(stylometry_data_drama!E$2:E$37))/(MAX(stylometry_data_drama!E$2:E$37) - MIN(stylometry_data_drama!E$2:E$37))</f>
        <v>0.72499999999999998</v>
      </c>
      <c r="F21">
        <f>(stylometry_data_drama!F21 - MIN(stylometry_data_drama!F$2:F$37))/(MAX(stylometry_data_drama!F$2:F$37) - MIN(stylometry_data_drama!F$2:F$37))</f>
        <v>0.68750000000000011</v>
      </c>
      <c r="G21">
        <f>(stylometry_data_drama!G21 - MIN(stylometry_data_drama!G$2:G$37))/(MAX(stylometry_data_drama!G$2:G$37) - MIN(stylometry_data_drama!G$2:G$37))</f>
        <v>6.5934065934065908E-2</v>
      </c>
      <c r="H21">
        <f>(stylometry_data_drama!H21 - MIN(stylometry_data_drama!H$2:H$37))/(MAX(stylometry_data_drama!H$2:H$37) - MIN(stylometry_data_drama!H$2:H$37))</f>
        <v>0.6</v>
      </c>
      <c r="I21">
        <f>(stylometry_data_drama!I21 - MIN(stylometry_data_drama!I$2:I$37))/(MAX(stylometry_data_drama!I$2:I$37) - MIN(stylometry_data_drama!I$2:I$37))</f>
        <v>0.81249999999999989</v>
      </c>
      <c r="J21">
        <f>(stylometry_data_drama!J21 - MIN(stylometry_data_drama!J$2:J$37))/(MAX(stylometry_data_drama!J$2:J$37) - MIN(stylometry_data_drama!J$2:J$37))</f>
        <v>0</v>
      </c>
      <c r="K21">
        <f>(stylometry_data_drama!K21 - MIN(stylometry_data_drama!K$2:K$37))/(MAX(stylometry_data_drama!K$2:K$37) - MIN(stylometry_data_drama!K$2:K$37))</f>
        <v>0</v>
      </c>
      <c r="L21">
        <f>(stylometry_data_drama!L21 - MIN(stylometry_data_drama!L$2:L$37))/(MAX(stylometry_data_drama!L$2:L$37) - MIN(stylometry_data_drama!L$2:L$37))</f>
        <v>1</v>
      </c>
      <c r="M21">
        <f>(stylometry_data_drama!M21 - MIN(stylometry_data_drama!M$2:M$37))/(MAX(stylometry_data_drama!M$2:M$37) - MIN(stylometry_data_drama!M$2:M$37))</f>
        <v>0.25490196078431371</v>
      </c>
      <c r="N21">
        <f>(stylometry_data_drama!N21 - MIN(stylometry_data_drama!N$2:N$37))/(MAX(stylometry_data_drama!N$2:N$37) - MIN(stylometry_data_drama!N$2:N$37))</f>
        <v>0.56949152542372883</v>
      </c>
      <c r="O21">
        <f>(stylometry_data_drama!O21 - MIN(stylometry_data_drama!O$2:O$37))/(MAX(stylometry_data_drama!O$2:O$37) - MIN(stylometry_data_drama!O$2:O$37))</f>
        <v>0.63602941176470584</v>
      </c>
      <c r="P21">
        <f>(stylometry_data_drama!P21 - MIN(stylometry_data_drama!P$2:P$37))/(MAX(stylometry_data_drama!P$2:P$37) - MIN(stylometry_data_drama!P$2:P$37))</f>
        <v>0.80894308943089432</v>
      </c>
      <c r="Q21">
        <f>(stylometry_data_drama!Q21 - MIN(stylometry_data_drama!Q$2:Q$37))/(MAX(stylometry_data_drama!Q$2:Q$37) - MIN(stylometry_data_drama!Q$2:Q$37))</f>
        <v>0.50521436848203927</v>
      </c>
      <c r="R21">
        <f>(stylometry_data_drama!R21 - MIN(stylometry_data_drama!R$2:R$37))/(MAX(stylometry_data_drama!R$2:R$37) - MIN(stylometry_data_drama!R$2:R$37))</f>
        <v>0.22222222222222224</v>
      </c>
      <c r="S21">
        <f>(stylometry_data_drama!S21 - MIN(stylometry_data_drama!S$2:S$37))/(MAX(stylometry_data_drama!S$2:S$37) - MIN(stylometry_data_drama!S$2:S$37))</f>
        <v>0.32</v>
      </c>
      <c r="T21">
        <f>(stylometry_data_drama!T21 - MIN(stylometry_data_drama!T$2:T$37))/(MAX(stylometry_data_drama!T$2:T$37) - MIN(stylometry_data_drama!T$2:T$37))</f>
        <v>0.53180994564123218</v>
      </c>
      <c r="U21">
        <f>(stylometry_data_drama!U21 - MIN(stylometry_data_drama!U$2:U$37))/(MAX(stylometry_data_drama!U$2:U$37) - MIN(stylometry_data_drama!U$2:U$37))</f>
        <v>4.4585774425299145E-2</v>
      </c>
      <c r="V21">
        <f>(stylometry_data_drama!V21 - MIN(stylometry_data_drama!V$2:V$37))/(MAX(stylometry_data_drama!V$2:V$37) - MIN(stylometry_data_drama!V$2:V$37))</f>
        <v>0.12857142857142856</v>
      </c>
      <c r="W21">
        <f>(stylometry_data_drama!W21 - MIN(stylometry_data_drama!W$2:W$37))/(MAX(stylometry_data_drama!W$2:W$37) - MIN(stylometry_data_drama!W$2:W$37))</f>
        <v>0.64102564102564086</v>
      </c>
      <c r="X21">
        <f>(stylometry_data_drama!X21 - MIN(stylometry_data_drama!X$2:X$37))/(MAX(stylometry_data_drama!X$2:X$37) - MIN(stylometry_data_drama!X$2:X$37))</f>
        <v>0.32441471571906372</v>
      </c>
      <c r="Y21">
        <f>(stylometry_data_drama!Y21 - MIN(stylometry_data_drama!Y$2:Y$37))/(MAX(stylometry_data_drama!Y$2:Y$37) - MIN(stylometry_data_drama!Y$2:Y$37))</f>
        <v>0.11627906976744187</v>
      </c>
      <c r="Z21">
        <f>(stylometry_data_drama!Z21 - MIN(stylometry_data_drama!Z$2:Z$37))/(MAX(stylometry_data_drama!Z$2:Z$37) - MIN(stylometry_data_drama!Z$2:Z$37))</f>
        <v>0.15123992022192498</v>
      </c>
      <c r="AA21" t="s">
        <v>44</v>
      </c>
    </row>
    <row r="22" spans="1:27" x14ac:dyDescent="0.2">
      <c r="A22">
        <f>(stylometry_data_drama!A22 - MIN(stylometry_data_drama!A$2:A$37))/(MAX(stylometry_data_drama!A$2:A$37) - MIN(stylometry_data_drama!A$2:A$37))</f>
        <v>4.5239702903443625E-2</v>
      </c>
      <c r="B22">
        <f>(stylometry_data_drama!B22 - MIN(stylometry_data_drama!B$2:B$37))/(MAX(stylometry_data_drama!B$2:B$37) - MIN(stylometry_data_drama!B$2:B$37))</f>
        <v>3.9682539682539673E-2</v>
      </c>
      <c r="C22">
        <f>(stylometry_data_drama!C22 - MIN(stylometry_data_drama!C$2:C$37))/(MAX(stylometry_data_drama!C$2:C$37) - MIN(stylometry_data_drama!C$2:C$37))</f>
        <v>0</v>
      </c>
      <c r="D22">
        <f>(stylometry_data_drama!D22 - MIN(stylometry_data_drama!D$2:D$37))/(MAX(stylometry_data_drama!D$2:D$37) - MIN(stylometry_data_drama!D$2:D$37))</f>
        <v>0.19417475728155337</v>
      </c>
      <c r="E22">
        <f>(stylometry_data_drama!E22 - MIN(stylometry_data_drama!E$2:E$37))/(MAX(stylometry_data_drama!E$2:E$37) - MIN(stylometry_data_drama!E$2:E$37))</f>
        <v>0.33749999999999991</v>
      </c>
      <c r="F22">
        <f>(stylometry_data_drama!F22 - MIN(stylometry_data_drama!F$2:F$37))/(MAX(stylometry_data_drama!F$2:F$37) - MIN(stylometry_data_drama!F$2:F$37))</f>
        <v>0.40625000000000011</v>
      </c>
      <c r="G22">
        <f>(stylometry_data_drama!G22 - MIN(stylometry_data_drama!G$2:G$37))/(MAX(stylometry_data_drama!G$2:G$37) - MIN(stylometry_data_drama!G$2:G$37))</f>
        <v>0.5494505494505495</v>
      </c>
      <c r="H22">
        <f>(stylometry_data_drama!H22 - MIN(stylometry_data_drama!H$2:H$37))/(MAX(stylometry_data_drama!H$2:H$37) - MIN(stylometry_data_drama!H$2:H$37))</f>
        <v>0.18181818181818182</v>
      </c>
      <c r="I22">
        <f>(stylometry_data_drama!I22 - MIN(stylometry_data_drama!I$2:I$37))/(MAX(stylometry_data_drama!I$2:I$37) - MIN(stylometry_data_drama!I$2:I$37))</f>
        <v>0</v>
      </c>
      <c r="J22">
        <f>(stylometry_data_drama!J22 - MIN(stylometry_data_drama!J$2:J$37))/(MAX(stylometry_data_drama!J$2:J$37) - MIN(stylometry_data_drama!J$2:J$37))</f>
        <v>0.6</v>
      </c>
      <c r="K22">
        <f>(stylometry_data_drama!K22 - MIN(stylometry_data_drama!K$2:K$37))/(MAX(stylometry_data_drama!K$2:K$37) - MIN(stylometry_data_drama!K$2:K$37))</f>
        <v>0</v>
      </c>
      <c r="L22">
        <f>(stylometry_data_drama!L22 - MIN(stylometry_data_drama!L$2:L$37))/(MAX(stylometry_data_drama!L$2:L$37) - MIN(stylometry_data_drama!L$2:L$37))</f>
        <v>0</v>
      </c>
      <c r="M22">
        <f>(stylometry_data_drama!M22 - MIN(stylometry_data_drama!M$2:M$37))/(MAX(stylometry_data_drama!M$2:M$37) - MIN(stylometry_data_drama!M$2:M$37))</f>
        <v>6.8627450980392149E-2</v>
      </c>
      <c r="N22">
        <f>(stylometry_data_drama!N22 - MIN(stylometry_data_drama!N$2:N$37))/(MAX(stylometry_data_drama!N$2:N$37) - MIN(stylometry_data_drama!N$2:N$37))</f>
        <v>8.1355932203389825E-2</v>
      </c>
      <c r="O22">
        <f>(stylometry_data_drama!O22 - MIN(stylometry_data_drama!O$2:O$37))/(MAX(stylometry_data_drama!O$2:O$37) - MIN(stylometry_data_drama!O$2:O$37))</f>
        <v>5.5147058823529424E-2</v>
      </c>
      <c r="P22">
        <f>(stylometry_data_drama!P22 - MIN(stylometry_data_drama!P$2:P$37))/(MAX(stylometry_data_drama!P$2:P$37) - MIN(stylometry_data_drama!P$2:P$37))</f>
        <v>0</v>
      </c>
      <c r="Q22">
        <f>(stylometry_data_drama!Q22 - MIN(stylometry_data_drama!Q$2:Q$37))/(MAX(stylometry_data_drama!Q$2:Q$37) - MIN(stylometry_data_drama!Q$2:Q$37))</f>
        <v>0.13673232908458863</v>
      </c>
      <c r="R22">
        <f>(stylometry_data_drama!R22 - MIN(stylometry_data_drama!R$2:R$37))/(MAX(stylometry_data_drama!R$2:R$37) - MIN(stylometry_data_drama!R$2:R$37))</f>
        <v>0</v>
      </c>
      <c r="S22">
        <f>(stylometry_data_drama!S22 - MIN(stylometry_data_drama!S$2:S$37))/(MAX(stylometry_data_drama!S$2:S$37) - MIN(stylometry_data_drama!S$2:S$37))</f>
        <v>0</v>
      </c>
      <c r="T22">
        <f>(stylometry_data_drama!T22 - MIN(stylometry_data_drama!T$2:T$37))/(MAX(stylometry_data_drama!T$2:T$37) - MIN(stylometry_data_drama!T$2:T$37))</f>
        <v>0.2395812361586471</v>
      </c>
      <c r="U22">
        <f>(stylometry_data_drama!U22 - MIN(stylometry_data_drama!U$2:U$37))/(MAX(stylometry_data_drama!U$2:U$37) - MIN(stylometry_data_drama!U$2:U$37))</f>
        <v>0.88560926642618654</v>
      </c>
      <c r="V22">
        <f>(stylometry_data_drama!V22 - MIN(stylometry_data_drama!V$2:V$37))/(MAX(stylometry_data_drama!V$2:V$37) - MIN(stylometry_data_drama!V$2:V$37))</f>
        <v>0.2857142857142857</v>
      </c>
      <c r="W22">
        <f>(stylometry_data_drama!W22 - MIN(stylometry_data_drama!W$2:W$37))/(MAX(stylometry_data_drama!W$2:W$37) - MIN(stylometry_data_drama!W$2:W$37))</f>
        <v>0.76923076923076916</v>
      </c>
      <c r="X22">
        <f>(stylometry_data_drama!X22 - MIN(stylometry_data_drama!X$2:X$37))/(MAX(stylometry_data_drama!X$2:X$37) - MIN(stylometry_data_drama!X$2:X$37))</f>
        <v>0.54849498327759172</v>
      </c>
      <c r="Y22">
        <f>(stylometry_data_drama!Y22 - MIN(stylometry_data_drama!Y$2:Y$37))/(MAX(stylometry_data_drama!Y$2:Y$37) - MIN(stylometry_data_drama!Y$2:Y$37))</f>
        <v>0.60465116279069764</v>
      </c>
      <c r="Z22">
        <f>(stylometry_data_drama!Z22 - MIN(stylometry_data_drama!Z$2:Z$37))/(MAX(stylometry_data_drama!Z$2:Z$37) - MIN(stylometry_data_drama!Z$2:Z$37))</f>
        <v>0.862123970437913</v>
      </c>
      <c r="AA22" t="s">
        <v>45</v>
      </c>
    </row>
    <row r="23" spans="1:27" x14ac:dyDescent="0.2">
      <c r="A23">
        <f>(stylometry_data_drama!A23 - MIN(stylometry_data_drama!A$2:A$37))/(MAX(stylometry_data_drama!A$2:A$37) - MIN(stylometry_data_drama!A$2:A$37))</f>
        <v>4.2538825118163405E-2</v>
      </c>
      <c r="B23">
        <f>(stylometry_data_drama!B23 - MIN(stylometry_data_drama!B$2:B$37))/(MAX(stylometry_data_drama!B$2:B$37) - MIN(stylometry_data_drama!B$2:B$37))</f>
        <v>7.1428571428571425E-2</v>
      </c>
      <c r="C23">
        <f>(stylometry_data_drama!C23 - MIN(stylometry_data_drama!C$2:C$37))/(MAX(stylometry_data_drama!C$2:C$37) - MIN(stylometry_data_drama!C$2:C$37))</f>
        <v>4.4444444444444446E-2</v>
      </c>
      <c r="D23">
        <f>(stylometry_data_drama!D23 - MIN(stylometry_data_drama!D$2:D$37))/(MAX(stylometry_data_drama!D$2:D$37) - MIN(stylometry_data_drama!D$2:D$37))</f>
        <v>0.10679611650485438</v>
      </c>
      <c r="E23">
        <f>(stylometry_data_drama!E23 - MIN(stylometry_data_drama!E$2:E$37))/(MAX(stylometry_data_drama!E$2:E$37) - MIN(stylometry_data_drama!E$2:E$37))</f>
        <v>9.9999999999999992E-2</v>
      </c>
      <c r="F23">
        <f>(stylometry_data_drama!F23 - MIN(stylometry_data_drama!F$2:F$37))/(MAX(stylometry_data_drama!F$2:F$37) - MIN(stylometry_data_drama!F$2:F$37))</f>
        <v>6.2499999999999979E-2</v>
      </c>
      <c r="G23">
        <f>(stylometry_data_drama!G23 - MIN(stylometry_data_drama!G$2:G$37))/(MAX(stylometry_data_drama!G$2:G$37) - MIN(stylometry_data_drama!G$2:G$37))</f>
        <v>0.67032967032967028</v>
      </c>
      <c r="H23">
        <f>(stylometry_data_drama!H23 - MIN(stylometry_data_drama!H$2:H$37))/(MAX(stylometry_data_drama!H$2:H$37) - MIN(stylometry_data_drama!H$2:H$37))</f>
        <v>0.12727272727272726</v>
      </c>
      <c r="I23">
        <f>(stylometry_data_drama!I23 - MIN(stylometry_data_drama!I$2:I$37))/(MAX(stylometry_data_drama!I$2:I$37) - MIN(stylometry_data_drama!I$2:I$37))</f>
        <v>0.125</v>
      </c>
      <c r="J23">
        <f>(stylometry_data_drama!J23 - MIN(stylometry_data_drama!J$2:J$37))/(MAX(stylometry_data_drama!J$2:J$37) - MIN(stylometry_data_drama!J$2:J$37))</f>
        <v>1</v>
      </c>
      <c r="K23">
        <f>(stylometry_data_drama!K23 - MIN(stylometry_data_drama!K$2:K$37))/(MAX(stylometry_data_drama!K$2:K$37) - MIN(stylometry_data_drama!K$2:K$37))</f>
        <v>0</v>
      </c>
      <c r="L23">
        <f>(stylometry_data_drama!L23 - MIN(stylometry_data_drama!L$2:L$37))/(MAX(stylometry_data_drama!L$2:L$37) - MIN(stylometry_data_drama!L$2:L$37))</f>
        <v>0.16129032258064518</v>
      </c>
      <c r="M23">
        <f>(stylometry_data_drama!M23 - MIN(stylometry_data_drama!M$2:M$37))/(MAX(stylometry_data_drama!M$2:M$37) - MIN(stylometry_data_drama!M$2:M$37))</f>
        <v>4.9019607843137254E-2</v>
      </c>
      <c r="N23">
        <f>(stylometry_data_drama!N23 - MIN(stylometry_data_drama!N$2:N$37))/(MAX(stylometry_data_drama!N$2:N$37) - MIN(stylometry_data_drama!N$2:N$37))</f>
        <v>4.4067796610169498E-2</v>
      </c>
      <c r="O23">
        <f>(stylometry_data_drama!O23 - MIN(stylometry_data_drama!O$2:O$37))/(MAX(stylometry_data_drama!O$2:O$37) - MIN(stylometry_data_drama!O$2:O$37))</f>
        <v>9.1911764705882346E-2</v>
      </c>
      <c r="P23">
        <f>(stylometry_data_drama!P23 - MIN(stylometry_data_drama!P$2:P$37))/(MAX(stylometry_data_drama!P$2:P$37) - MIN(stylometry_data_drama!P$2:P$37))</f>
        <v>0.10162601626016259</v>
      </c>
      <c r="Q23">
        <f>(stylometry_data_drama!Q23 - MIN(stylometry_data_drama!Q$2:Q$37))/(MAX(stylometry_data_drama!Q$2:Q$37) - MIN(stylometry_data_drama!Q$2:Q$37))</f>
        <v>0.20046349942062572</v>
      </c>
      <c r="R23">
        <f>(stylometry_data_drama!R23 - MIN(stylometry_data_drama!R$2:R$37))/(MAX(stylometry_data_drama!R$2:R$37) - MIN(stylometry_data_drama!R$2:R$37))</f>
        <v>0</v>
      </c>
      <c r="S23">
        <f>(stylometry_data_drama!S23 - MIN(stylometry_data_drama!S$2:S$37))/(MAX(stylometry_data_drama!S$2:S$37) - MIN(stylometry_data_drama!S$2:S$37))</f>
        <v>0.2</v>
      </c>
      <c r="T23">
        <f>(stylometry_data_drama!T23 - MIN(stylometry_data_drama!T$2:T$37))/(MAX(stylometry_data_drama!T$2:T$37) - MIN(stylometry_data_drama!T$2:T$37))</f>
        <v>0.43079323535333197</v>
      </c>
      <c r="U23">
        <f>(stylometry_data_drama!U23 - MIN(stylometry_data_drama!U$2:U$37))/(MAX(stylometry_data_drama!U$2:U$37) - MIN(stylometry_data_drama!U$2:U$37))</f>
        <v>1</v>
      </c>
      <c r="V23">
        <f>(stylometry_data_drama!V23 - MIN(stylometry_data_drama!V$2:V$37))/(MAX(stylometry_data_drama!V$2:V$37) - MIN(stylometry_data_drama!V$2:V$37))</f>
        <v>0.6428571428571429</v>
      </c>
      <c r="W23">
        <f>(stylometry_data_drama!W23 - MIN(stylometry_data_drama!W$2:W$37))/(MAX(stylometry_data_drama!W$2:W$37) - MIN(stylometry_data_drama!W$2:W$37))</f>
        <v>0.48717948717948723</v>
      </c>
      <c r="X23">
        <f>(stylometry_data_drama!X23 - MIN(stylometry_data_drama!X$2:X$37))/(MAX(stylometry_data_drama!X$2:X$37) - MIN(stylometry_data_drama!X$2:X$37))</f>
        <v>0.94314381270903014</v>
      </c>
      <c r="Y23">
        <f>(stylometry_data_drama!Y23 - MIN(stylometry_data_drama!Y$2:Y$37))/(MAX(stylometry_data_drama!Y$2:Y$37) - MIN(stylometry_data_drama!Y$2:Y$37))</f>
        <v>0.67441860465116277</v>
      </c>
      <c r="Z23">
        <f>(stylometry_data_drama!Z23 - MIN(stylometry_data_drama!Z$2:Z$37))/(MAX(stylometry_data_drama!Z$2:Z$37) - MIN(stylometry_data_drama!Z$2:Z$37))</f>
        <v>0.92990134695569848</v>
      </c>
      <c r="AA23" t="s">
        <v>46</v>
      </c>
    </row>
    <row r="24" spans="1:27" x14ac:dyDescent="0.2">
      <c r="A24">
        <f>(stylometry_data_drama!A24 - MIN(stylometry_data_drama!A$2:A$37))/(MAX(stylometry_data_drama!A$2:A$37) - MIN(stylometry_data_drama!A$2:A$37))</f>
        <v>0.15259959486833224</v>
      </c>
      <c r="B24">
        <f>(stylometry_data_drama!B24 - MIN(stylometry_data_drama!B$2:B$37))/(MAX(stylometry_data_drama!B$2:B$37) - MIN(stylometry_data_drama!B$2:B$37))</f>
        <v>0.14726631393298062</v>
      </c>
      <c r="C24">
        <f>(stylometry_data_drama!C24 - MIN(stylometry_data_drama!C$2:C$37))/(MAX(stylometry_data_drama!C$2:C$37) - MIN(stylometry_data_drama!C$2:C$37))</f>
        <v>4.4444444444444446E-2</v>
      </c>
      <c r="D24">
        <f>(stylometry_data_drama!D24 - MIN(stylometry_data_drama!D$2:D$37))/(MAX(stylometry_data_drama!D$2:D$37) - MIN(stylometry_data_drama!D$2:D$37))</f>
        <v>4.8543689320388314E-2</v>
      </c>
      <c r="E24">
        <f>(stylometry_data_drama!E24 - MIN(stylometry_data_drama!E$2:E$37))/(MAX(stylometry_data_drama!E$2:E$37) - MIN(stylometry_data_drama!E$2:E$37))</f>
        <v>0.12499999999999994</v>
      </c>
      <c r="F24">
        <f>(stylometry_data_drama!F24 - MIN(stylometry_data_drama!F$2:F$37))/(MAX(stylometry_data_drama!F$2:F$37) - MIN(stylometry_data_drama!F$2:F$37))</f>
        <v>0.12500000000000003</v>
      </c>
      <c r="G24">
        <f>(stylometry_data_drama!G24 - MIN(stylometry_data_drama!G$2:G$37))/(MAX(stylometry_data_drama!G$2:G$37) - MIN(stylometry_data_drama!G$2:G$37))</f>
        <v>0.80219780219780212</v>
      </c>
      <c r="H24">
        <f>(stylometry_data_drama!H24 - MIN(stylometry_data_drama!H$2:H$37))/(MAX(stylometry_data_drama!H$2:H$37) - MIN(stylometry_data_drama!H$2:H$37))</f>
        <v>9.0909090909090912E-2</v>
      </c>
      <c r="I24">
        <f>(stylometry_data_drama!I24 - MIN(stylometry_data_drama!I$2:I$37))/(MAX(stylometry_data_drama!I$2:I$37) - MIN(stylometry_data_drama!I$2:I$37))</f>
        <v>0</v>
      </c>
      <c r="J24">
        <f>(stylometry_data_drama!J24 - MIN(stylometry_data_drama!J$2:J$37))/(MAX(stylometry_data_drama!J$2:J$37) - MIN(stylometry_data_drama!J$2:J$37))</f>
        <v>0.6</v>
      </c>
      <c r="K24">
        <f>(stylometry_data_drama!K24 - MIN(stylometry_data_drama!K$2:K$37))/(MAX(stylometry_data_drama!K$2:K$37) - MIN(stylometry_data_drama!K$2:K$37))</f>
        <v>0</v>
      </c>
      <c r="L24">
        <f>(stylometry_data_drama!L24 - MIN(stylometry_data_drama!L$2:L$37))/(MAX(stylometry_data_drama!L$2:L$37) - MIN(stylometry_data_drama!L$2:L$37))</f>
        <v>0.45161290322580644</v>
      </c>
      <c r="M24">
        <f>(stylometry_data_drama!M24 - MIN(stylometry_data_drama!M$2:M$37))/(MAX(stylometry_data_drama!M$2:M$37) - MIN(stylometry_data_drama!M$2:M$37))</f>
        <v>4.9019607843137254E-2</v>
      </c>
      <c r="N24">
        <f>(stylometry_data_drama!N24 - MIN(stylometry_data_drama!N$2:N$37))/(MAX(stylometry_data_drama!N$2:N$37) - MIN(stylometry_data_drama!N$2:N$37))</f>
        <v>7.7966101694915274E-2</v>
      </c>
      <c r="O24">
        <f>(stylometry_data_drama!O24 - MIN(stylometry_data_drama!O$2:O$37))/(MAX(stylometry_data_drama!O$2:O$37) - MIN(stylometry_data_drama!O$2:O$37))</f>
        <v>0.25367647058823528</v>
      </c>
      <c r="P24">
        <f>(stylometry_data_drama!P24 - MIN(stylometry_data_drama!P$2:P$37))/(MAX(stylometry_data_drama!P$2:P$37) - MIN(stylometry_data_drama!P$2:P$37))</f>
        <v>0.3902439024390244</v>
      </c>
      <c r="Q24">
        <f>(stylometry_data_drama!Q24 - MIN(stylometry_data_drama!Q$2:Q$37))/(MAX(stylometry_data_drama!Q$2:Q$37) - MIN(stylometry_data_drama!Q$2:Q$37))</f>
        <v>0.25724217844727687</v>
      </c>
      <c r="R24">
        <f>(stylometry_data_drama!R24 - MIN(stylometry_data_drama!R$2:R$37))/(MAX(stylometry_data_drama!R$2:R$37) - MIN(stylometry_data_drama!R$2:R$37))</f>
        <v>4.4444444444444446E-2</v>
      </c>
      <c r="S24">
        <f>(stylometry_data_drama!S24 - MIN(stylometry_data_drama!S$2:S$37))/(MAX(stylometry_data_drama!S$2:S$37) - MIN(stylometry_data_drama!S$2:S$37))</f>
        <v>0.27999999999999997</v>
      </c>
      <c r="T24">
        <f>(stylometry_data_drama!T24 - MIN(stylometry_data_drama!T$2:T$37))/(MAX(stylometry_data_drama!T$2:T$37) - MIN(stylometry_data_drama!T$2:T$37))</f>
        <v>0.50553654117173341</v>
      </c>
      <c r="U24">
        <f>(stylometry_data_drama!U24 - MIN(stylometry_data_drama!U$2:U$37))/(MAX(stylometry_data_drama!U$2:U$37) - MIN(stylometry_data_drama!U$2:U$37))</f>
        <v>0.5970178278458409</v>
      </c>
      <c r="V24">
        <f>(stylometry_data_drama!V24 - MIN(stylometry_data_drama!V$2:V$37))/(MAX(stylometry_data_drama!V$2:V$37) - MIN(stylometry_data_drama!V$2:V$37))</f>
        <v>1</v>
      </c>
      <c r="W24">
        <f>(stylometry_data_drama!W24 - MIN(stylometry_data_drama!W$2:W$37))/(MAX(stylometry_data_drama!W$2:W$37) - MIN(stylometry_data_drama!W$2:W$37))</f>
        <v>0.71794871794871795</v>
      </c>
      <c r="X24">
        <f>(stylometry_data_drama!X24 - MIN(stylometry_data_drama!X$2:X$37))/(MAX(stylometry_data_drama!X$2:X$37) - MIN(stylometry_data_drama!X$2:X$37))</f>
        <v>0.43478260869565194</v>
      </c>
      <c r="Y24">
        <f>(stylometry_data_drama!Y24 - MIN(stylometry_data_drama!Y$2:Y$37))/(MAX(stylometry_data_drama!Y$2:Y$37) - MIN(stylometry_data_drama!Y$2:Y$37))</f>
        <v>1</v>
      </c>
      <c r="Z24">
        <f>(stylometry_data_drama!Z24 - MIN(stylometry_data_drama!Z$2:Z$37))/(MAX(stylometry_data_drama!Z$2:Z$37) - MIN(stylometry_data_drama!Z$2:Z$37))</f>
        <v>0.82820330845127632</v>
      </c>
      <c r="AA24" t="s">
        <v>47</v>
      </c>
    </row>
    <row r="25" spans="1:27" x14ac:dyDescent="0.2">
      <c r="A25">
        <f>(stylometry_data_drama!A25 - MIN(stylometry_data_drama!A$2:A$37))/(MAX(stylometry_data_drama!A$2:A$37) - MIN(stylometry_data_drama!A$2:A$37))</f>
        <v>5.9419311276164767E-2</v>
      </c>
      <c r="B25">
        <f>(stylometry_data_drama!B25 - MIN(stylometry_data_drama!B$2:B$37))/(MAX(stylometry_data_drama!B$2:B$37) - MIN(stylometry_data_drama!B$2:B$37))</f>
        <v>7.6719576719576729E-2</v>
      </c>
      <c r="C25">
        <f>(stylometry_data_drama!C25 - MIN(stylometry_data_drama!C$2:C$37))/(MAX(stylometry_data_drama!C$2:C$37) - MIN(stylometry_data_drama!C$2:C$37))</f>
        <v>0</v>
      </c>
      <c r="D25">
        <f>(stylometry_data_drama!D25 - MIN(stylometry_data_drama!D$2:D$37))/(MAX(stylometry_data_drama!D$2:D$37) - MIN(stylometry_data_drama!D$2:D$37))</f>
        <v>0</v>
      </c>
      <c r="E25">
        <f>(stylometry_data_drama!E25 - MIN(stylometry_data_drama!E$2:E$37))/(MAX(stylometry_data_drama!E$2:E$37) - MIN(stylometry_data_drama!E$2:E$37))</f>
        <v>0.375</v>
      </c>
      <c r="F25">
        <f>(stylometry_data_drama!F25 - MIN(stylometry_data_drama!F$2:F$37))/(MAX(stylometry_data_drama!F$2:F$37) - MIN(stylometry_data_drama!F$2:F$37))</f>
        <v>0</v>
      </c>
      <c r="G25">
        <f>(stylometry_data_drama!G25 - MIN(stylometry_data_drama!G$2:G$37))/(MAX(stylometry_data_drama!G$2:G$37) - MIN(stylometry_data_drama!G$2:G$37))</f>
        <v>0.69230769230769229</v>
      </c>
      <c r="H25">
        <f>(stylometry_data_drama!H25 - MIN(stylometry_data_drama!H$2:H$37))/(MAX(stylometry_data_drama!H$2:H$37) - MIN(stylometry_data_drama!H$2:H$37))</f>
        <v>5.4545454545454543E-2</v>
      </c>
      <c r="I25">
        <f>(stylometry_data_drama!I25 - MIN(stylometry_data_drama!I$2:I$37))/(MAX(stylometry_data_drama!I$2:I$37) - MIN(stylometry_data_drama!I$2:I$37))</f>
        <v>0.1875</v>
      </c>
      <c r="J25">
        <f>(stylometry_data_drama!J25 - MIN(stylometry_data_drama!J$2:J$37))/(MAX(stylometry_data_drama!J$2:J$37) - MIN(stylometry_data_drama!J$2:J$37))</f>
        <v>0</v>
      </c>
      <c r="K25">
        <f>(stylometry_data_drama!K25 - MIN(stylometry_data_drama!K$2:K$37))/(MAX(stylometry_data_drama!K$2:K$37) - MIN(stylometry_data_drama!K$2:K$37))</f>
        <v>0</v>
      </c>
      <c r="L25">
        <f>(stylometry_data_drama!L25 - MIN(stylometry_data_drama!L$2:L$37))/(MAX(stylometry_data_drama!L$2:L$37) - MIN(stylometry_data_drama!L$2:L$37))</f>
        <v>0.30645161290322576</v>
      </c>
      <c r="M25">
        <f>(stylometry_data_drama!M25 - MIN(stylometry_data_drama!M$2:M$37))/(MAX(stylometry_data_drama!M$2:M$37) - MIN(stylometry_data_drama!M$2:M$37))</f>
        <v>6.8627450980392149E-2</v>
      </c>
      <c r="N25">
        <f>(stylometry_data_drama!N25 - MIN(stylometry_data_drama!N$2:N$37))/(MAX(stylometry_data_drama!N$2:N$37) - MIN(stylometry_data_drama!N$2:N$37))</f>
        <v>9.1525423728813587E-2</v>
      </c>
      <c r="O25">
        <f>(stylometry_data_drama!O25 - MIN(stylometry_data_drama!O$2:O$37))/(MAX(stylometry_data_drama!O$2:O$37) - MIN(stylometry_data_drama!O$2:O$37))</f>
        <v>0.2904411764705882</v>
      </c>
      <c r="P25">
        <f>(stylometry_data_drama!P25 - MIN(stylometry_data_drama!P$2:P$37))/(MAX(stylometry_data_drama!P$2:P$37) - MIN(stylometry_data_drama!P$2:P$37))</f>
        <v>0.30894308943089427</v>
      </c>
      <c r="Q25">
        <f>(stylometry_data_drama!Q25 - MIN(stylometry_data_drama!Q$2:Q$37))/(MAX(stylometry_data_drama!Q$2:Q$37) - MIN(stylometry_data_drama!Q$2:Q$37))</f>
        <v>7.4159907300115832E-2</v>
      </c>
      <c r="R25">
        <f>(stylometry_data_drama!R25 - MIN(stylometry_data_drama!R$2:R$37))/(MAX(stylometry_data_drama!R$2:R$37) - MIN(stylometry_data_drama!R$2:R$37))</f>
        <v>0</v>
      </c>
      <c r="S25">
        <f>(stylometry_data_drama!S25 - MIN(stylometry_data_drama!S$2:S$37))/(MAX(stylometry_data_drama!S$2:S$37) - MIN(stylometry_data_drama!S$2:S$37))</f>
        <v>0.12</v>
      </c>
      <c r="T25">
        <f>(stylometry_data_drama!T25 - MIN(stylometry_data_drama!T$2:T$37))/(MAX(stylometry_data_drama!T$2:T$37) - MIN(stylometry_data_drama!T$2:T$37))</f>
        <v>0.69498691362995779</v>
      </c>
      <c r="U25">
        <f>(stylometry_data_drama!U25 - MIN(stylometry_data_drama!U$2:U$37))/(MAX(stylometry_data_drama!U$2:U$37) - MIN(stylometry_data_drama!U$2:U$37))</f>
        <v>0.54715792529779284</v>
      </c>
      <c r="V25">
        <f>(stylometry_data_drama!V25 - MIN(stylometry_data_drama!V$2:V$37))/(MAX(stylometry_data_drama!V$2:V$37) - MIN(stylometry_data_drama!V$2:V$37))</f>
        <v>0.7</v>
      </c>
      <c r="W25">
        <f>(stylometry_data_drama!W25 - MIN(stylometry_data_drama!W$2:W$37))/(MAX(stylometry_data_drama!W$2:W$37) - MIN(stylometry_data_drama!W$2:W$37))</f>
        <v>0.66666666666666663</v>
      </c>
      <c r="X25">
        <f>(stylometry_data_drama!X25 - MIN(stylometry_data_drama!X$2:X$37))/(MAX(stylometry_data_drama!X$2:X$37) - MIN(stylometry_data_drama!X$2:X$37))</f>
        <v>0.65217391304347849</v>
      </c>
      <c r="Y25">
        <f>(stylometry_data_drama!Y25 - MIN(stylometry_data_drama!Y$2:Y$37))/(MAX(stylometry_data_drama!Y$2:Y$37) - MIN(stylometry_data_drama!Y$2:Y$37))</f>
        <v>0.30232558139534882</v>
      </c>
      <c r="Z25">
        <f>(stylometry_data_drama!Z25 - MIN(stylometry_data_drama!Z$2:Z$37))/(MAX(stylometry_data_drama!Z$2:Z$37) - MIN(stylometry_data_drama!Z$2:Z$37))</f>
        <v>0.86013853886024061</v>
      </c>
      <c r="AA25" t="s">
        <v>48</v>
      </c>
    </row>
    <row r="26" spans="1:27" x14ac:dyDescent="0.2">
      <c r="A26">
        <f>(stylometry_data_drama!A26 - MIN(stylometry_data_drama!A$2:A$37))/(MAX(stylometry_data_drama!A$2:A$37) - MIN(stylometry_data_drama!A$2:A$37))</f>
        <v>9.3855503038487498E-2</v>
      </c>
      <c r="B26">
        <f>(stylometry_data_drama!B26 - MIN(stylometry_data_drama!B$2:B$37))/(MAX(stylometry_data_drama!B$2:B$37) - MIN(stylometry_data_drama!B$2:B$37))</f>
        <v>2.2045855379188732E-2</v>
      </c>
      <c r="C26">
        <f>(stylometry_data_drama!C26 - MIN(stylometry_data_drama!C$2:C$37))/(MAX(stylometry_data_drama!C$2:C$37) - MIN(stylometry_data_drama!C$2:C$37))</f>
        <v>0</v>
      </c>
      <c r="D26">
        <f>(stylometry_data_drama!D26 - MIN(stylometry_data_drama!D$2:D$37))/(MAX(stylometry_data_drama!D$2:D$37) - MIN(stylometry_data_drama!D$2:D$37))</f>
        <v>0.32038834951456302</v>
      </c>
      <c r="E26">
        <f>(stylometry_data_drama!E26 - MIN(stylometry_data_drama!E$2:E$37))/(MAX(stylometry_data_drama!E$2:E$37) - MIN(stylometry_data_drama!E$2:E$37))</f>
        <v>2.4999999999999998E-2</v>
      </c>
      <c r="F26">
        <f>(stylometry_data_drama!F26 - MIN(stylometry_data_drama!F$2:F$37))/(MAX(stylometry_data_drama!F$2:F$37) - MIN(stylometry_data_drama!F$2:F$37))</f>
        <v>6.2499999999999979E-2</v>
      </c>
      <c r="G26">
        <f>(stylometry_data_drama!G26 - MIN(stylometry_data_drama!G$2:G$37))/(MAX(stylometry_data_drama!G$2:G$37) - MIN(stylometry_data_drama!G$2:G$37))</f>
        <v>0.51648351648351642</v>
      </c>
      <c r="H26">
        <f>(stylometry_data_drama!H26 - MIN(stylometry_data_drama!H$2:H$37))/(MAX(stylometry_data_drama!H$2:H$37) - MIN(stylometry_data_drama!H$2:H$37))</f>
        <v>0.58181818181818179</v>
      </c>
      <c r="I26">
        <f>(stylometry_data_drama!I26 - MIN(stylometry_data_drama!I$2:I$37))/(MAX(stylometry_data_drama!I$2:I$37) - MIN(stylometry_data_drama!I$2:I$37))</f>
        <v>0</v>
      </c>
      <c r="J26">
        <f>(stylometry_data_drama!J26 - MIN(stylometry_data_drama!J$2:J$37))/(MAX(stylometry_data_drama!J$2:J$37) - MIN(stylometry_data_drama!J$2:J$37))</f>
        <v>0.8</v>
      </c>
      <c r="K26">
        <f>(stylometry_data_drama!K26 - MIN(stylometry_data_drama!K$2:K$37))/(MAX(stylometry_data_drama!K$2:K$37) - MIN(stylometry_data_drama!K$2:K$37))</f>
        <v>0</v>
      </c>
      <c r="L26">
        <f>(stylometry_data_drama!L26 - MIN(stylometry_data_drama!L$2:L$37))/(MAX(stylometry_data_drama!L$2:L$37) - MIN(stylometry_data_drama!L$2:L$37))</f>
        <v>0</v>
      </c>
      <c r="M26">
        <f>(stylometry_data_drama!M26 - MIN(stylometry_data_drama!M$2:M$37))/(MAX(stylometry_data_drama!M$2:M$37) - MIN(stylometry_data_drama!M$2:M$37))</f>
        <v>3.9215686274509803E-2</v>
      </c>
      <c r="N26">
        <f>(stylometry_data_drama!N26 - MIN(stylometry_data_drama!N$2:N$37))/(MAX(stylometry_data_drama!N$2:N$37) - MIN(stylometry_data_drama!N$2:N$37))</f>
        <v>2.7118644067796609E-2</v>
      </c>
      <c r="O26">
        <f>(stylometry_data_drama!O26 - MIN(stylometry_data_drama!O$2:O$37))/(MAX(stylometry_data_drama!O$2:O$37) - MIN(stylometry_data_drama!O$2:O$37))</f>
        <v>0</v>
      </c>
      <c r="P26">
        <f>(stylometry_data_drama!P26 - MIN(stylometry_data_drama!P$2:P$37))/(MAX(stylometry_data_drama!P$2:P$37) - MIN(stylometry_data_drama!P$2:P$37))</f>
        <v>6.0975609756097532E-2</v>
      </c>
      <c r="Q26">
        <f>(stylometry_data_drama!Q26 - MIN(stylometry_data_drama!Q$2:Q$37))/(MAX(stylometry_data_drama!Q$2:Q$37) - MIN(stylometry_data_drama!Q$2:Q$37))</f>
        <v>0</v>
      </c>
      <c r="R26">
        <f>(stylometry_data_drama!R26 - MIN(stylometry_data_drama!R$2:R$37))/(MAX(stylometry_data_drama!R$2:R$37) - MIN(stylometry_data_drama!R$2:R$37))</f>
        <v>0</v>
      </c>
      <c r="S26">
        <f>(stylometry_data_drama!S26 - MIN(stylometry_data_drama!S$2:S$37))/(MAX(stylometry_data_drama!S$2:S$37) - MIN(stylometry_data_drama!S$2:S$37))</f>
        <v>0.72000000000000008</v>
      </c>
      <c r="T26">
        <f>(stylometry_data_drama!T26 - MIN(stylometry_data_drama!T$2:T$37))/(MAX(stylometry_data_drama!T$2:T$37) - MIN(stylometry_data_drama!T$2:T$37))</f>
        <v>0.94015502315280852</v>
      </c>
      <c r="U26">
        <f>(stylometry_data_drama!U26 - MIN(stylometry_data_drama!U$2:U$37))/(MAX(stylometry_data_drama!U$2:U$37) - MIN(stylometry_data_drama!U$2:U$37))</f>
        <v>0.82335121869718986</v>
      </c>
      <c r="V26">
        <f>(stylometry_data_drama!V26 - MIN(stylometry_data_drama!V$2:V$37))/(MAX(stylometry_data_drama!V$2:V$37) - MIN(stylometry_data_drama!V$2:V$37))</f>
        <v>0.17142857142857146</v>
      </c>
      <c r="W26">
        <f>(stylometry_data_drama!W26 - MIN(stylometry_data_drama!W$2:W$37))/(MAX(stylometry_data_drama!W$2:W$37) - MIN(stylometry_data_drama!W$2:W$37))</f>
        <v>1</v>
      </c>
      <c r="X26">
        <f>(stylometry_data_drama!X26 - MIN(stylometry_data_drama!X$2:X$37))/(MAX(stylometry_data_drama!X$2:X$37) - MIN(stylometry_data_drama!X$2:X$37))</f>
        <v>0.61872909698996637</v>
      </c>
      <c r="Y26">
        <f>(stylometry_data_drama!Y26 - MIN(stylometry_data_drama!Y$2:Y$37))/(MAX(stylometry_data_drama!Y$2:Y$37) - MIN(stylometry_data_drama!Y$2:Y$37))</f>
        <v>0.2558139534883721</v>
      </c>
      <c r="Z26">
        <f>(stylometry_data_drama!Z26 - MIN(stylometry_data_drama!Z$2:Z$37))/(MAX(stylometry_data_drama!Z$2:Z$37) - MIN(stylometry_data_drama!Z$2:Z$37))</f>
        <v>0.96809038078857357</v>
      </c>
      <c r="AA26" t="s">
        <v>49</v>
      </c>
    </row>
    <row r="27" spans="1:27" x14ac:dyDescent="0.2">
      <c r="A27">
        <f>(stylometry_data_drama!A27 - MIN(stylometry_data_drama!A$2:A$37))/(MAX(stylometry_data_drama!A$2:A$37) - MIN(stylometry_data_drama!A$2:A$37))</f>
        <v>1.6205266711681283E-2</v>
      </c>
      <c r="B27">
        <f>(stylometry_data_drama!B27 - MIN(stylometry_data_drama!B$2:B$37))/(MAX(stylometry_data_drama!B$2:B$37) - MIN(stylometry_data_drama!B$2:B$37))</f>
        <v>0</v>
      </c>
      <c r="C27">
        <f>(stylometry_data_drama!C27 - MIN(stylometry_data_drama!C$2:C$37))/(MAX(stylometry_data_drama!C$2:C$37) - MIN(stylometry_data_drama!C$2:C$37))</f>
        <v>0</v>
      </c>
      <c r="D27">
        <f>(stylometry_data_drama!D27 - MIN(stylometry_data_drama!D$2:D$37))/(MAX(stylometry_data_drama!D$2:D$37) - MIN(stylometry_data_drama!D$2:D$37))</f>
        <v>0.10679611650485438</v>
      </c>
      <c r="E27">
        <f>(stylometry_data_drama!E27 - MIN(stylometry_data_drama!E$2:E$37))/(MAX(stylometry_data_drama!E$2:E$37) - MIN(stylometry_data_drama!E$2:E$37))</f>
        <v>0.14999999999999994</v>
      </c>
      <c r="F27">
        <f>(stylometry_data_drama!F27 - MIN(stylometry_data_drama!F$2:F$37))/(MAX(stylometry_data_drama!F$2:F$37) - MIN(stylometry_data_drama!F$2:F$37))</f>
        <v>3.125E-2</v>
      </c>
      <c r="G27">
        <f>(stylometry_data_drama!G27 - MIN(stylometry_data_drama!G$2:G$37))/(MAX(stylometry_data_drama!G$2:G$37) - MIN(stylometry_data_drama!G$2:G$37))</f>
        <v>1</v>
      </c>
      <c r="H27">
        <f>(stylometry_data_drama!H27 - MIN(stylometry_data_drama!H$2:H$37))/(MAX(stylometry_data_drama!H$2:H$37) - MIN(stylometry_data_drama!H$2:H$37))</f>
        <v>0.10909090909090909</v>
      </c>
      <c r="I27">
        <f>(stylometry_data_drama!I27 - MIN(stylometry_data_drama!I$2:I$37))/(MAX(stylometry_data_drama!I$2:I$37) - MIN(stylometry_data_drama!I$2:I$37))</f>
        <v>0</v>
      </c>
      <c r="J27">
        <f>(stylometry_data_drama!J27 - MIN(stylometry_data_drama!J$2:J$37))/(MAX(stylometry_data_drama!J$2:J$37) - MIN(stylometry_data_drama!J$2:J$37))</f>
        <v>0</v>
      </c>
      <c r="K27">
        <f>(stylometry_data_drama!K27 - MIN(stylometry_data_drama!K$2:K$37))/(MAX(stylometry_data_drama!K$2:K$37) - MIN(stylometry_data_drama!K$2:K$37))</f>
        <v>0</v>
      </c>
      <c r="L27">
        <f>(stylometry_data_drama!L27 - MIN(stylometry_data_drama!L$2:L$37))/(MAX(stylometry_data_drama!L$2:L$37) - MIN(stylometry_data_drama!L$2:L$37))</f>
        <v>0.38709677419354838</v>
      </c>
      <c r="M27">
        <f>(stylometry_data_drama!M27 - MIN(stylometry_data_drama!M$2:M$37))/(MAX(stylometry_data_drama!M$2:M$37) - MIN(stylometry_data_drama!M$2:M$37))</f>
        <v>8.8235294117647065E-2</v>
      </c>
      <c r="N27">
        <f>(stylometry_data_drama!N27 - MIN(stylometry_data_drama!N$2:N$37))/(MAX(stylometry_data_drama!N$2:N$37) - MIN(stylometry_data_drama!N$2:N$37))</f>
        <v>2.7118644067796609E-2</v>
      </c>
      <c r="O27">
        <f>(stylometry_data_drama!O27 - MIN(stylometry_data_drama!O$2:O$37))/(MAX(stylometry_data_drama!O$2:O$37) - MIN(stylometry_data_drama!O$2:O$37))</f>
        <v>3.3088235294117654E-2</v>
      </c>
      <c r="P27">
        <f>(stylometry_data_drama!P27 - MIN(stylometry_data_drama!P$2:P$37))/(MAX(stylometry_data_drama!P$2:P$37) - MIN(stylometry_data_drama!P$2:P$37))</f>
        <v>0.2113821138211382</v>
      </c>
      <c r="Q27">
        <f>(stylometry_data_drama!Q27 - MIN(stylometry_data_drama!Q$2:Q$37))/(MAX(stylometry_data_drama!Q$2:Q$37) - MIN(stylometry_data_drama!Q$2:Q$37))</f>
        <v>0.10428736964078794</v>
      </c>
      <c r="R27">
        <f>(stylometry_data_drama!R27 - MIN(stylometry_data_drama!R$2:R$37))/(MAX(stylometry_data_drama!R$2:R$37) - MIN(stylometry_data_drama!R$2:R$37))</f>
        <v>6.6666666666666666E-2</v>
      </c>
      <c r="S27">
        <f>(stylometry_data_drama!S27 - MIN(stylometry_data_drama!S$2:S$37))/(MAX(stylometry_data_drama!S$2:S$37) - MIN(stylometry_data_drama!S$2:S$37))</f>
        <v>0.12</v>
      </c>
      <c r="T27">
        <f>(stylometry_data_drama!T27 - MIN(stylometry_data_drama!T$2:T$37))/(MAX(stylometry_data_drama!T$2:T$37) - MIN(stylometry_data_drama!T$2:T$37))</f>
        <v>0.47901147573988329</v>
      </c>
      <c r="U27">
        <f>(stylometry_data_drama!U27 - MIN(stylometry_data_drama!U$2:U$37))/(MAX(stylometry_data_drama!U$2:U$37) - MIN(stylometry_data_drama!U$2:U$37))</f>
        <v>0.59913394302429746</v>
      </c>
      <c r="V27">
        <f>(stylometry_data_drama!V27 - MIN(stylometry_data_drama!V$2:V$37))/(MAX(stylometry_data_drama!V$2:V$37) - MIN(stylometry_data_drama!V$2:V$37))</f>
        <v>0.48571428571428577</v>
      </c>
      <c r="W27">
        <f>(stylometry_data_drama!W27 - MIN(stylometry_data_drama!W$2:W$37))/(MAX(stylometry_data_drama!W$2:W$37) - MIN(stylometry_data_drama!W$2:W$37))</f>
        <v>0.15384615384615388</v>
      </c>
      <c r="X27">
        <f>(stylometry_data_drama!X27 - MIN(stylometry_data_drama!X$2:X$37))/(MAX(stylometry_data_drama!X$2:X$37) - MIN(stylometry_data_drama!X$2:X$37))</f>
        <v>0.78260869565217406</v>
      </c>
      <c r="Y27">
        <f>(stylometry_data_drama!Y27 - MIN(stylometry_data_drama!Y$2:Y$37))/(MAX(stylometry_data_drama!Y$2:Y$37) - MIN(stylometry_data_drama!Y$2:Y$37))</f>
        <v>0.372093023255814</v>
      </c>
      <c r="Z27">
        <f>(stylometry_data_drama!Z27 - MIN(stylometry_data_drama!Z$2:Z$37))/(MAX(stylometry_data_drama!Z$2:Z$37) - MIN(stylometry_data_drama!Z$2:Z$37))</f>
        <v>0.90164446438932122</v>
      </c>
      <c r="AA27" t="s">
        <v>50</v>
      </c>
    </row>
    <row r="28" spans="1:27" x14ac:dyDescent="0.2">
      <c r="A28">
        <f>(stylometry_data_drama!A28 - MIN(stylometry_data_drama!A$2:A$37))/(MAX(stylometry_data_drama!A$2:A$37) - MIN(stylometry_data_drama!A$2:A$37))</f>
        <v>6.1444969615124904E-2</v>
      </c>
      <c r="B28">
        <f>(stylometry_data_drama!B28 - MIN(stylometry_data_drama!B$2:B$37))/(MAX(stylometry_data_drama!B$2:B$37) - MIN(stylometry_data_drama!B$2:B$37))</f>
        <v>4.2328042328042326E-2</v>
      </c>
      <c r="C28">
        <f>(stylometry_data_drama!C28 - MIN(stylometry_data_drama!C$2:C$37))/(MAX(stylometry_data_drama!C$2:C$37) - MIN(stylometry_data_drama!C$2:C$37))</f>
        <v>6.6666666666666666E-2</v>
      </c>
      <c r="D28">
        <f>(stylometry_data_drama!D28 - MIN(stylometry_data_drama!D$2:D$37))/(MAX(stylometry_data_drama!D$2:D$37) - MIN(stylometry_data_drama!D$2:D$37))</f>
        <v>0.34951456310679613</v>
      </c>
      <c r="E28">
        <f>(stylometry_data_drama!E28 - MIN(stylometry_data_drama!E$2:E$37))/(MAX(stylometry_data_drama!E$2:E$37) - MIN(stylometry_data_drama!E$2:E$37))</f>
        <v>0.25</v>
      </c>
      <c r="F28">
        <f>(stylometry_data_drama!F28 - MIN(stylometry_data_drama!F$2:F$37))/(MAX(stylometry_data_drama!F$2:F$37) - MIN(stylometry_data_drama!F$2:F$37))</f>
        <v>0.20312500000000006</v>
      </c>
      <c r="G28">
        <f>(stylometry_data_drama!G28 - MIN(stylometry_data_drama!G$2:G$37))/(MAX(stylometry_data_drama!G$2:G$37) - MIN(stylometry_data_drama!G$2:G$37))</f>
        <v>0.62637362637362637</v>
      </c>
      <c r="H28">
        <f>(stylometry_data_drama!H28 - MIN(stylometry_data_drama!H$2:H$37))/(MAX(stylometry_data_drama!H$2:H$37) - MIN(stylometry_data_drama!H$2:H$37))</f>
        <v>0.23636363636363633</v>
      </c>
      <c r="I28">
        <f>(stylometry_data_drama!I28 - MIN(stylometry_data_drama!I$2:I$37))/(MAX(stylometry_data_drama!I$2:I$37) - MIN(stylometry_data_drama!I$2:I$37))</f>
        <v>0</v>
      </c>
      <c r="J28">
        <f>(stylometry_data_drama!J28 - MIN(stylometry_data_drama!J$2:J$37))/(MAX(stylometry_data_drama!J$2:J$37) - MIN(stylometry_data_drama!J$2:J$37))</f>
        <v>0</v>
      </c>
      <c r="K28">
        <f>(stylometry_data_drama!K28 - MIN(stylometry_data_drama!K$2:K$37))/(MAX(stylometry_data_drama!K$2:K$37) - MIN(stylometry_data_drama!K$2:K$37))</f>
        <v>0</v>
      </c>
      <c r="L28">
        <f>(stylometry_data_drama!L28 - MIN(stylometry_data_drama!L$2:L$37))/(MAX(stylometry_data_drama!L$2:L$37) - MIN(stylometry_data_drama!L$2:L$37))</f>
        <v>0.25806451612903231</v>
      </c>
      <c r="M28">
        <f>(stylometry_data_drama!M28 - MIN(stylometry_data_drama!M$2:M$37))/(MAX(stylometry_data_drama!M$2:M$37) - MIN(stylometry_data_drama!M$2:M$37))</f>
        <v>2.9411764705882353E-2</v>
      </c>
      <c r="N28">
        <f>(stylometry_data_drama!N28 - MIN(stylometry_data_drama!N$2:N$37))/(MAX(stylometry_data_drama!N$2:N$37) - MIN(stylometry_data_drama!N$2:N$37))</f>
        <v>2.0338983050847474E-2</v>
      </c>
      <c r="O28">
        <f>(stylometry_data_drama!O28 - MIN(stylometry_data_drama!O$2:O$37))/(MAX(stylometry_data_drama!O$2:O$37) - MIN(stylometry_data_drama!O$2:O$37))</f>
        <v>0.11397058823529413</v>
      </c>
      <c r="P28">
        <f>(stylometry_data_drama!P28 - MIN(stylometry_data_drama!P$2:P$37))/(MAX(stylometry_data_drama!P$2:P$37) - MIN(stylometry_data_drama!P$2:P$37))</f>
        <v>0.2886178861788618</v>
      </c>
      <c r="Q28">
        <f>(stylometry_data_drama!Q28 - MIN(stylometry_data_drama!Q$2:Q$37))/(MAX(stylometry_data_drama!Q$2:Q$37) - MIN(stylometry_data_drama!Q$2:Q$37))</f>
        <v>9.7334878331402058E-2</v>
      </c>
      <c r="R28">
        <f>(stylometry_data_drama!R28 - MIN(stylometry_data_drama!R$2:R$37))/(MAX(stylometry_data_drama!R$2:R$37) - MIN(stylometry_data_drama!R$2:R$37))</f>
        <v>6.6666666666666666E-2</v>
      </c>
      <c r="S28">
        <f>(stylometry_data_drama!S28 - MIN(stylometry_data_drama!S$2:S$37))/(MAX(stylometry_data_drama!S$2:S$37) - MIN(stylometry_data_drama!S$2:S$37))</f>
        <v>0.2</v>
      </c>
      <c r="T28">
        <f>(stylometry_data_drama!T28 - MIN(stylometry_data_drama!T$2:T$37))/(MAX(stylometry_data_drama!T$2:T$37) - MIN(stylometry_data_drama!T$2:T$37))</f>
        <v>0.43139722166297567</v>
      </c>
      <c r="U28">
        <f>(stylometry_data_drama!U28 - MIN(stylometry_data_drama!U$2:U$37))/(MAX(stylometry_data_drama!U$2:U$37) - MIN(stylometry_data_drama!U$2:U$37))</f>
        <v>0.67769971761393355</v>
      </c>
      <c r="V28">
        <f>(stylometry_data_drama!V28 - MIN(stylometry_data_drama!V$2:V$37))/(MAX(stylometry_data_drama!V$2:V$37) - MIN(stylometry_data_drama!V$2:V$37))</f>
        <v>0.6428571428571429</v>
      </c>
      <c r="W28">
        <f>(stylometry_data_drama!W28 - MIN(stylometry_data_drama!W$2:W$37))/(MAX(stylometry_data_drama!W$2:W$37) - MIN(stylometry_data_drama!W$2:W$37))</f>
        <v>0.64102564102564086</v>
      </c>
      <c r="X28">
        <f>(stylometry_data_drama!X28 - MIN(stylometry_data_drama!X$2:X$37))/(MAX(stylometry_data_drama!X$2:X$37) - MIN(stylometry_data_drama!X$2:X$37))</f>
        <v>0.78595317725752512</v>
      </c>
      <c r="Y28">
        <f>(stylometry_data_drama!Y28 - MIN(stylometry_data_drama!Y$2:Y$37))/(MAX(stylometry_data_drama!Y$2:Y$37) - MIN(stylometry_data_drama!Y$2:Y$37))</f>
        <v>1</v>
      </c>
      <c r="Z28">
        <f>(stylometry_data_drama!Z28 - MIN(stylometry_data_drama!Z$2:Z$37))/(MAX(stylometry_data_drama!Z$2:Z$37) - MIN(stylometry_data_drama!Z$2:Z$37))</f>
        <v>0.91779095528478205</v>
      </c>
      <c r="AA28" t="s">
        <v>51</v>
      </c>
    </row>
    <row r="29" spans="1:27" x14ac:dyDescent="0.2">
      <c r="A29">
        <f>(stylometry_data_drama!A29 - MIN(stylometry_data_drama!A$2:A$37))/(MAX(stylometry_data_drama!A$2:A$37) - MIN(stylometry_data_drama!A$2:A$37))</f>
        <v>0.16948008102633355</v>
      </c>
      <c r="B29">
        <f>(stylometry_data_drama!B29 - MIN(stylometry_data_drama!B$2:B$37))/(MAX(stylometry_data_drama!B$2:B$37) - MIN(stylometry_data_drama!B$2:B$37))</f>
        <v>0.23633156966490301</v>
      </c>
      <c r="C29">
        <f>(stylometry_data_drama!C29 - MIN(stylometry_data_drama!C$2:C$37))/(MAX(stylometry_data_drama!C$2:C$37) - MIN(stylometry_data_drama!C$2:C$37))</f>
        <v>0.11111111111111112</v>
      </c>
      <c r="D29">
        <f>(stylometry_data_drama!D29 - MIN(stylometry_data_drama!D$2:D$37))/(MAX(stylometry_data_drama!D$2:D$37) - MIN(stylometry_data_drama!D$2:D$37))</f>
        <v>0.40776699029126207</v>
      </c>
      <c r="E29">
        <f>(stylometry_data_drama!E29 - MIN(stylometry_data_drama!E$2:E$37))/(MAX(stylometry_data_drama!E$2:E$37) - MIN(stylometry_data_drama!E$2:E$37))</f>
        <v>0.43750000000000006</v>
      </c>
      <c r="F29">
        <f>(stylometry_data_drama!F29 - MIN(stylometry_data_drama!F$2:F$37))/(MAX(stylometry_data_drama!F$2:F$37) - MIN(stylometry_data_drama!F$2:F$37))</f>
        <v>0.20312500000000006</v>
      </c>
      <c r="G29">
        <f>(stylometry_data_drama!G29 - MIN(stylometry_data_drama!G$2:G$37))/(MAX(stylometry_data_drama!G$2:G$37) - MIN(stylometry_data_drama!G$2:G$37))</f>
        <v>0.7142857142857143</v>
      </c>
      <c r="H29">
        <f>(stylometry_data_drama!H29 - MIN(stylometry_data_drama!H$2:H$37))/(MAX(stylometry_data_drama!H$2:H$37) - MIN(stylometry_data_drama!H$2:H$37))</f>
        <v>0</v>
      </c>
      <c r="I29">
        <f>(stylometry_data_drama!I29 - MIN(stylometry_data_drama!I$2:I$37))/(MAX(stylometry_data_drama!I$2:I$37) - MIN(stylometry_data_drama!I$2:I$37))</f>
        <v>0</v>
      </c>
      <c r="J29">
        <f>(stylometry_data_drama!J29 - MIN(stylometry_data_drama!J$2:J$37))/(MAX(stylometry_data_drama!J$2:J$37) - MIN(stylometry_data_drama!J$2:J$37))</f>
        <v>0</v>
      </c>
      <c r="K29">
        <f>(stylometry_data_drama!K29 - MIN(stylometry_data_drama!K$2:K$37))/(MAX(stylometry_data_drama!K$2:K$37) - MIN(stylometry_data_drama!K$2:K$37))</f>
        <v>0</v>
      </c>
      <c r="L29">
        <f>(stylometry_data_drama!L29 - MIN(stylometry_data_drama!L$2:L$37))/(MAX(stylometry_data_drama!L$2:L$37) - MIN(stylometry_data_drama!L$2:L$37))</f>
        <v>0.40322580645161293</v>
      </c>
      <c r="M29">
        <f>(stylometry_data_drama!M29 - MIN(stylometry_data_drama!M$2:M$37))/(MAX(stylometry_data_drama!M$2:M$37) - MIN(stylometry_data_drama!M$2:M$37))</f>
        <v>8.8235294117647065E-2</v>
      </c>
      <c r="N29">
        <f>(stylometry_data_drama!N29 - MIN(stylometry_data_drama!N$2:N$37))/(MAX(stylometry_data_drama!N$2:N$37) - MIN(stylometry_data_drama!N$2:N$37))</f>
        <v>0.24067796610169492</v>
      </c>
      <c r="O29">
        <f>(stylometry_data_drama!O29 - MIN(stylometry_data_drama!O$2:O$37))/(MAX(stylometry_data_drama!O$2:O$37) - MIN(stylometry_data_drama!O$2:O$37))</f>
        <v>0.34926470588235292</v>
      </c>
      <c r="P29">
        <f>(stylometry_data_drama!P29 - MIN(stylometry_data_drama!P$2:P$37))/(MAX(stylometry_data_drama!P$2:P$37) - MIN(stylometry_data_drama!P$2:P$37))</f>
        <v>0.31300813008130079</v>
      </c>
      <c r="Q29">
        <f>(stylometry_data_drama!Q29 - MIN(stylometry_data_drama!Q$2:Q$37))/(MAX(stylometry_data_drama!Q$2:Q$37) - MIN(stylometry_data_drama!Q$2:Q$37))</f>
        <v>0.31402085747392811</v>
      </c>
      <c r="R29">
        <f>(stylometry_data_drama!R29 - MIN(stylometry_data_drama!R$2:R$37))/(MAX(stylometry_data_drama!R$2:R$37) - MIN(stylometry_data_drama!R$2:R$37))</f>
        <v>0.11111111111111112</v>
      </c>
      <c r="S29">
        <f>(stylometry_data_drama!S29 - MIN(stylometry_data_drama!S$2:S$37))/(MAX(stylometry_data_drama!S$2:S$37) - MIN(stylometry_data_drama!S$2:S$37))</f>
        <v>0.36000000000000004</v>
      </c>
      <c r="T29">
        <f>(stylometry_data_drama!T29 - MIN(stylometry_data_drama!T$2:T$37))/(MAX(stylometry_data_drama!T$2:T$37) - MIN(stylometry_data_drama!T$2:T$37))</f>
        <v>1</v>
      </c>
      <c r="U29">
        <f>(stylometry_data_drama!U29 - MIN(stylometry_data_drama!U$2:U$37))/(MAX(stylometry_data_drama!U$2:U$37) - MIN(stylometry_data_drama!U$2:U$37))</f>
        <v>0.52950537245653972</v>
      </c>
      <c r="V29">
        <f>(stylometry_data_drama!V29 - MIN(stylometry_data_drama!V$2:V$37))/(MAX(stylometry_data_drama!V$2:V$37) - MIN(stylometry_data_drama!V$2:V$37))</f>
        <v>0.18571428571428575</v>
      </c>
      <c r="W29">
        <f>(stylometry_data_drama!W29 - MIN(stylometry_data_drama!W$2:W$37))/(MAX(stylometry_data_drama!W$2:W$37) - MIN(stylometry_data_drama!W$2:W$37))</f>
        <v>0.28205128205128205</v>
      </c>
      <c r="X29">
        <f>(stylometry_data_drama!X29 - MIN(stylometry_data_drama!X$2:X$37))/(MAX(stylometry_data_drama!X$2:X$37) - MIN(stylometry_data_drama!X$2:X$37))</f>
        <v>0.98327759197324427</v>
      </c>
      <c r="Y29">
        <f>(stylometry_data_drama!Y29 - MIN(stylometry_data_drama!Y$2:Y$37))/(MAX(stylometry_data_drama!Y$2:Y$37) - MIN(stylometry_data_drama!Y$2:Y$37))</f>
        <v>0</v>
      </c>
      <c r="Z29">
        <f>(stylometry_data_drama!Z29 - MIN(stylometry_data_drama!Z$2:Z$37))/(MAX(stylometry_data_drama!Z$2:Z$37) - MIN(stylometry_data_drama!Z$2:Z$37))</f>
        <v>1</v>
      </c>
      <c r="AA29" t="s">
        <v>52</v>
      </c>
    </row>
    <row r="30" spans="1:27" x14ac:dyDescent="0.2">
      <c r="A30">
        <f>(stylometry_data_drama!A30 - MIN(stylometry_data_drama!A$2:A$37))/(MAX(stylometry_data_drama!A$2:A$37) - MIN(stylometry_data_drama!A$2:A$37))</f>
        <v>0</v>
      </c>
      <c r="B30">
        <f>(stylometry_data_drama!B30 - MIN(stylometry_data_drama!B$2:B$37))/(MAX(stylometry_data_drama!B$2:B$37) - MIN(stylometry_data_drama!B$2:B$37))</f>
        <v>0.12874779541446207</v>
      </c>
      <c r="C30">
        <f>(stylometry_data_drama!C30 - MIN(stylometry_data_drama!C$2:C$37))/(MAX(stylometry_data_drama!C$2:C$37) - MIN(stylometry_data_drama!C$2:C$37))</f>
        <v>6.6666666666666666E-2</v>
      </c>
      <c r="D30">
        <f>(stylometry_data_drama!D30 - MIN(stylometry_data_drama!D$2:D$37))/(MAX(stylometry_data_drama!D$2:D$37) - MIN(stylometry_data_drama!D$2:D$37))</f>
        <v>0.34951456310679613</v>
      </c>
      <c r="E30">
        <f>(stylometry_data_drama!E30 - MIN(stylometry_data_drama!E$2:E$37))/(MAX(stylometry_data_drama!E$2:E$37) - MIN(stylometry_data_drama!E$2:E$37))</f>
        <v>6.2499999999999993E-2</v>
      </c>
      <c r="F30">
        <f>(stylometry_data_drama!F30 - MIN(stylometry_data_drama!F$2:F$37))/(MAX(stylometry_data_drama!F$2:F$37) - MIN(stylometry_data_drama!F$2:F$37))</f>
        <v>3.125E-2</v>
      </c>
      <c r="G30">
        <f>(stylometry_data_drama!G30 - MIN(stylometry_data_drama!G$2:G$37))/(MAX(stylometry_data_drama!G$2:G$37) - MIN(stylometry_data_drama!G$2:G$37))</f>
        <v>0.81318681318681318</v>
      </c>
      <c r="H30">
        <f>(stylometry_data_drama!H30 - MIN(stylometry_data_drama!H$2:H$37))/(MAX(stylometry_data_drama!H$2:H$37) - MIN(stylometry_data_drama!H$2:H$37))</f>
        <v>0.10909090909090909</v>
      </c>
      <c r="I30">
        <f>(stylometry_data_drama!I30 - MIN(stylometry_data_drama!I$2:I$37))/(MAX(stylometry_data_drama!I$2:I$37) - MIN(stylometry_data_drama!I$2:I$37))</f>
        <v>0</v>
      </c>
      <c r="J30">
        <f>(stylometry_data_drama!J30 - MIN(stylometry_data_drama!J$2:J$37))/(MAX(stylometry_data_drama!J$2:J$37) - MIN(stylometry_data_drama!J$2:J$37))</f>
        <v>0.6</v>
      </c>
      <c r="K30">
        <f>(stylometry_data_drama!K30 - MIN(stylometry_data_drama!K$2:K$37))/(MAX(stylometry_data_drama!K$2:K$37) - MIN(stylometry_data_drama!K$2:K$37))</f>
        <v>0</v>
      </c>
      <c r="L30">
        <f>(stylometry_data_drama!L30 - MIN(stylometry_data_drama!L$2:L$37))/(MAX(stylometry_data_drama!L$2:L$37) - MIN(stylometry_data_drama!L$2:L$37))</f>
        <v>0.27419354838709681</v>
      </c>
      <c r="M30">
        <f>(stylometry_data_drama!M30 - MIN(stylometry_data_drama!M$2:M$37))/(MAX(stylometry_data_drama!M$2:M$37) - MIN(stylometry_data_drama!M$2:M$37))</f>
        <v>8.8235294117647065E-2</v>
      </c>
      <c r="N30">
        <f>(stylometry_data_drama!N30 - MIN(stylometry_data_drama!N$2:N$37))/(MAX(stylometry_data_drama!N$2:N$37) - MIN(stylometry_data_drama!N$2:N$37))</f>
        <v>0</v>
      </c>
      <c r="O30">
        <f>(stylometry_data_drama!O30 - MIN(stylometry_data_drama!O$2:O$37))/(MAX(stylometry_data_drama!O$2:O$37) - MIN(stylometry_data_drama!O$2:O$37))</f>
        <v>0.20955882352941177</v>
      </c>
      <c r="P30">
        <f>(stylometry_data_drama!P30 - MIN(stylometry_data_drama!P$2:P$37))/(MAX(stylometry_data_drama!P$2:P$37) - MIN(stylometry_data_drama!P$2:P$37))</f>
        <v>0.2642276422764227</v>
      </c>
      <c r="Q30">
        <f>(stylometry_data_drama!Q30 - MIN(stylometry_data_drama!Q$2:Q$37))/(MAX(stylometry_data_drama!Q$2:Q$37) - MIN(stylometry_data_drama!Q$2:Q$37))</f>
        <v>0.14831981460023175</v>
      </c>
      <c r="R30">
        <f>(stylometry_data_drama!R30 - MIN(stylometry_data_drama!R$2:R$37))/(MAX(stylometry_data_drama!R$2:R$37) - MIN(stylometry_data_drama!R$2:R$37))</f>
        <v>0.2</v>
      </c>
      <c r="S30">
        <f>(stylometry_data_drama!S30 - MIN(stylometry_data_drama!S$2:S$37))/(MAX(stylometry_data_drama!S$2:S$37) - MIN(stylometry_data_drama!S$2:S$37))</f>
        <v>0.36000000000000004</v>
      </c>
      <c r="T30">
        <f>(stylometry_data_drama!T30 - MIN(stylometry_data_drama!T$2:T$37))/(MAX(stylometry_data_drama!T$2:T$37) - MIN(stylometry_data_drama!T$2:T$37))</f>
        <v>0.45892893094423198</v>
      </c>
      <c r="U30">
        <f>(stylometry_data_drama!U30 - MIN(stylometry_data_drama!U$2:U$37))/(MAX(stylometry_data_drama!U$2:U$37) - MIN(stylometry_data_drama!U$2:U$37))</f>
        <v>0.69522901756490629</v>
      </c>
      <c r="V30">
        <f>(stylometry_data_drama!V30 - MIN(stylometry_data_drama!V$2:V$37))/(MAX(stylometry_data_drama!V$2:V$37) - MIN(stylometry_data_drama!V$2:V$37))</f>
        <v>0.84285714285714275</v>
      </c>
      <c r="W30">
        <f>(stylometry_data_drama!W30 - MIN(stylometry_data_drama!W$2:W$37))/(MAX(stylometry_data_drama!W$2:W$37) - MIN(stylometry_data_drama!W$2:W$37))</f>
        <v>0.84615384615384615</v>
      </c>
      <c r="X30">
        <f>(stylometry_data_drama!X30 - MIN(stylometry_data_drama!X$2:X$37))/(MAX(stylometry_data_drama!X$2:X$37) - MIN(stylometry_data_drama!X$2:X$37))</f>
        <v>0.9264214046822743</v>
      </c>
      <c r="Y30">
        <f>(stylometry_data_drama!Y30 - MIN(stylometry_data_drama!Y$2:Y$37))/(MAX(stylometry_data_drama!Y$2:Y$37) - MIN(stylometry_data_drama!Y$2:Y$37))</f>
        <v>0.34883720930232553</v>
      </c>
      <c r="Z30">
        <f>(stylometry_data_drama!Z30 - MIN(stylometry_data_drama!Z$2:Z$37))/(MAX(stylometry_data_drama!Z$2:Z$37) - MIN(stylometry_data_drama!Z$2:Z$37))</f>
        <v>0.97921546619950139</v>
      </c>
      <c r="AA30" t="s">
        <v>53</v>
      </c>
    </row>
    <row r="31" spans="1:27" x14ac:dyDescent="0.2">
      <c r="A31">
        <f>(stylometry_data_drama!A31 - MIN(stylometry_data_drama!A$2:A$37))/(MAX(stylometry_data_drama!A$2:A$37) - MIN(stylometry_data_drama!A$2:A$37))</f>
        <v>3.1060094530722483E-2</v>
      </c>
      <c r="B31">
        <f>(stylometry_data_drama!B31 - MIN(stylometry_data_drama!B$2:B$37))/(MAX(stylometry_data_drama!B$2:B$37) - MIN(stylometry_data_drama!B$2:B$37))</f>
        <v>0.16490299823633159</v>
      </c>
      <c r="C31">
        <f>(stylometry_data_drama!C31 - MIN(stylometry_data_drama!C$2:C$37))/(MAX(stylometry_data_drama!C$2:C$37) - MIN(stylometry_data_drama!C$2:C$37))</f>
        <v>6.6666666666666666E-2</v>
      </c>
      <c r="D31">
        <f>(stylometry_data_drama!D31 - MIN(stylometry_data_drama!D$2:D$37))/(MAX(stylometry_data_drama!D$2:D$37) - MIN(stylometry_data_drama!D$2:D$37))</f>
        <v>9.7087378640776684E-2</v>
      </c>
      <c r="E31">
        <f>(stylometry_data_drama!E31 - MIN(stylometry_data_drama!E$2:E$37))/(MAX(stylometry_data_drama!E$2:E$37) - MIN(stylometry_data_drama!E$2:E$37))</f>
        <v>9.9999999999999992E-2</v>
      </c>
      <c r="F31">
        <f>(stylometry_data_drama!F31 - MIN(stylometry_data_drama!F$2:F$37))/(MAX(stylometry_data_drama!F$2:F$37) - MIN(stylometry_data_drama!F$2:F$37))</f>
        <v>0.21875</v>
      </c>
      <c r="G31">
        <f>(stylometry_data_drama!G31 - MIN(stylometry_data_drama!G$2:G$37))/(MAX(stylometry_data_drama!G$2:G$37) - MIN(stylometry_data_drama!G$2:G$37))</f>
        <v>0.35164835164835162</v>
      </c>
      <c r="H31">
        <f>(stylometry_data_drama!H31 - MIN(stylometry_data_drama!H$2:H$37))/(MAX(stylometry_data_drama!H$2:H$37) - MIN(stylometry_data_drama!H$2:H$37))</f>
        <v>0.25454545454545452</v>
      </c>
      <c r="I31">
        <f>(stylometry_data_drama!I31 - MIN(stylometry_data_drama!I$2:I$37))/(MAX(stylometry_data_drama!I$2:I$37) - MIN(stylometry_data_drama!I$2:I$37))</f>
        <v>0</v>
      </c>
      <c r="J31">
        <f>(stylometry_data_drama!J31 - MIN(stylometry_data_drama!J$2:J$37))/(MAX(stylometry_data_drama!J$2:J$37) - MIN(stylometry_data_drama!J$2:J$37))</f>
        <v>0</v>
      </c>
      <c r="K31">
        <f>(stylometry_data_drama!K31 - MIN(stylometry_data_drama!K$2:K$37))/(MAX(stylometry_data_drama!K$2:K$37) - MIN(stylometry_data_drama!K$2:K$37))</f>
        <v>0</v>
      </c>
      <c r="L31">
        <f>(stylometry_data_drama!L31 - MIN(stylometry_data_drama!L$2:L$37))/(MAX(stylometry_data_drama!L$2:L$37) - MIN(stylometry_data_drama!L$2:L$37))</f>
        <v>0.37096774193548382</v>
      </c>
      <c r="M31">
        <f>(stylometry_data_drama!M31 - MIN(stylometry_data_drama!M$2:M$37))/(MAX(stylometry_data_drama!M$2:M$37) - MIN(stylometry_data_drama!M$2:M$37))</f>
        <v>0</v>
      </c>
      <c r="N31">
        <f>(stylometry_data_drama!N31 - MIN(stylometry_data_drama!N$2:N$37))/(MAX(stylometry_data_drama!N$2:N$37) - MIN(stylometry_data_drama!N$2:N$37))</f>
        <v>6.1016949152542389E-2</v>
      </c>
      <c r="O31">
        <f>(stylometry_data_drama!O31 - MIN(stylometry_data_drama!O$2:O$37))/(MAX(stylometry_data_drama!O$2:O$37) - MIN(stylometry_data_drama!O$2:O$37))</f>
        <v>0.15073529411764708</v>
      </c>
      <c r="P31">
        <f>(stylometry_data_drama!P31 - MIN(stylometry_data_drama!P$2:P$37))/(MAX(stylometry_data_drama!P$2:P$37) - MIN(stylometry_data_drama!P$2:P$37))</f>
        <v>0.22357723577235775</v>
      </c>
      <c r="Q31">
        <f>(stylometry_data_drama!Q31 - MIN(stylometry_data_drama!Q$2:Q$37))/(MAX(stylometry_data_drama!Q$2:Q$37) - MIN(stylometry_data_drama!Q$2:Q$37))</f>
        <v>0.19235225955967553</v>
      </c>
      <c r="R31">
        <f>(stylometry_data_drama!R31 - MIN(stylometry_data_drama!R$2:R$37))/(MAX(stylometry_data_drama!R$2:R$37) - MIN(stylometry_data_drama!R$2:R$37))</f>
        <v>6.6666666666666666E-2</v>
      </c>
      <c r="S31">
        <f>(stylometry_data_drama!S31 - MIN(stylometry_data_drama!S$2:S$37))/(MAX(stylometry_data_drama!S$2:S$37) - MIN(stylometry_data_drama!S$2:S$37))</f>
        <v>0</v>
      </c>
      <c r="T31">
        <f>(stylometry_data_drama!T31 - MIN(stylometry_data_drama!T$2:T$37))/(MAX(stylometry_data_drama!T$2:T$37) - MIN(stylometry_data_drama!T$2:T$37))</f>
        <v>0.64963760821421379</v>
      </c>
      <c r="U31">
        <f>(stylometry_data_drama!U31 - MIN(stylometry_data_drama!U$2:U$37))/(MAX(stylometry_data_drama!U$2:U$37) - MIN(stylometry_data_drama!U$2:U$37))</f>
        <v>0.6719479160675208</v>
      </c>
      <c r="V31">
        <f>(stylometry_data_drama!V31 - MIN(stylometry_data_drama!V$2:V$37))/(MAX(stylometry_data_drama!V$2:V$37) - MIN(stylometry_data_drama!V$2:V$37))</f>
        <v>0.45714285714285718</v>
      </c>
      <c r="W31">
        <f>(stylometry_data_drama!W31 - MIN(stylometry_data_drama!W$2:W$37))/(MAX(stylometry_data_drama!W$2:W$37) - MIN(stylometry_data_drama!W$2:W$37))</f>
        <v>0.82051282051282048</v>
      </c>
      <c r="X31">
        <f>(stylometry_data_drama!X31 - MIN(stylometry_data_drama!X$2:X$37))/(MAX(stylometry_data_drama!X$2:X$37) - MIN(stylometry_data_drama!X$2:X$37))</f>
        <v>0.99331103678929789</v>
      </c>
      <c r="Y31">
        <f>(stylometry_data_drama!Y31 - MIN(stylometry_data_drama!Y$2:Y$37))/(MAX(stylometry_data_drama!Y$2:Y$37) - MIN(stylometry_data_drama!Y$2:Y$37))</f>
        <v>0.88372093023255816</v>
      </c>
      <c r="Z31">
        <f>(stylometry_data_drama!Z31 - MIN(stylometry_data_drama!Z$2:Z$37))/(MAX(stylometry_data_drama!Z$2:Z$37) - MIN(stylometry_data_drama!Z$2:Z$37))</f>
        <v>0.86996679564616086</v>
      </c>
      <c r="AA31" t="s">
        <v>54</v>
      </c>
    </row>
    <row r="32" spans="1:27" x14ac:dyDescent="0.2">
      <c r="A32">
        <f>(stylometry_data_drama!A32 - MIN(stylometry_data_drama!A$2:A$37))/(MAX(stylometry_data_drama!A$2:A$37) - MIN(stylometry_data_drama!A$2:A$37))</f>
        <v>0.63268062120189061</v>
      </c>
      <c r="B32">
        <f>(stylometry_data_drama!B32 - MIN(stylometry_data_drama!B$2:B$37))/(MAX(stylometry_data_drama!B$2:B$37) - MIN(stylometry_data_drama!B$2:B$37))</f>
        <v>0.90211640211640209</v>
      </c>
      <c r="C32">
        <f>(stylometry_data_drama!C32 - MIN(stylometry_data_drama!C$2:C$37))/(MAX(stylometry_data_drama!C$2:C$37) - MIN(stylometry_data_drama!C$2:C$37))</f>
        <v>0.11111111111111112</v>
      </c>
      <c r="D32">
        <f>(stylometry_data_drama!D32 - MIN(stylometry_data_drama!D$2:D$37))/(MAX(stylometry_data_drama!D$2:D$37) - MIN(stylometry_data_drama!D$2:D$37))</f>
        <v>0.49514563106796117</v>
      </c>
      <c r="E32">
        <f>(stylometry_data_drama!E32 - MIN(stylometry_data_drama!E$2:E$37))/(MAX(stylometry_data_drama!E$2:E$37) - MIN(stylometry_data_drama!E$2:E$37))</f>
        <v>0.3874999999999999</v>
      </c>
      <c r="F32">
        <f>(stylometry_data_drama!F32 - MIN(stylometry_data_drama!F$2:F$37))/(MAX(stylometry_data_drama!F$2:F$37) - MIN(stylometry_data_drama!F$2:F$37))</f>
        <v>0.46875000000000011</v>
      </c>
      <c r="G32">
        <f>(stylometry_data_drama!G32 - MIN(stylometry_data_drama!G$2:G$37))/(MAX(stylometry_data_drama!G$2:G$37) - MIN(stylometry_data_drama!G$2:G$37))</f>
        <v>0.96703296703296704</v>
      </c>
      <c r="H32">
        <f>(stylometry_data_drama!H32 - MIN(stylometry_data_drama!H$2:H$37))/(MAX(stylometry_data_drama!H$2:H$37) - MIN(stylometry_data_drama!H$2:H$37))</f>
        <v>0.45454545454545453</v>
      </c>
      <c r="I32">
        <f>(stylometry_data_drama!I32 - MIN(stylometry_data_drama!I$2:I$37))/(MAX(stylometry_data_drama!I$2:I$37) - MIN(stylometry_data_drama!I$2:I$37))</f>
        <v>0.125</v>
      </c>
      <c r="J32">
        <f>(stylometry_data_drama!J32 - MIN(stylometry_data_drama!J$2:J$37))/(MAX(stylometry_data_drama!J$2:J$37) - MIN(stylometry_data_drama!J$2:J$37))</f>
        <v>0</v>
      </c>
      <c r="K32">
        <f>(stylometry_data_drama!K32 - MIN(stylometry_data_drama!K$2:K$37))/(MAX(stylometry_data_drama!K$2:K$37) - MIN(stylometry_data_drama!K$2:K$37))</f>
        <v>0</v>
      </c>
      <c r="L32">
        <f>(stylometry_data_drama!L32 - MIN(stylometry_data_drama!L$2:L$37))/(MAX(stylometry_data_drama!L$2:L$37) - MIN(stylometry_data_drama!L$2:L$37))</f>
        <v>0.48387096774193555</v>
      </c>
      <c r="M32">
        <f>(stylometry_data_drama!M32 - MIN(stylometry_data_drama!M$2:M$37))/(MAX(stylometry_data_drama!M$2:M$37) - MIN(stylometry_data_drama!M$2:M$37))</f>
        <v>0.2156862745098039</v>
      </c>
      <c r="N32">
        <f>(stylometry_data_drama!N32 - MIN(stylometry_data_drama!N$2:N$37))/(MAX(stylometry_data_drama!N$2:N$37) - MIN(stylometry_data_drama!N$2:N$37))</f>
        <v>0.4949152542372881</v>
      </c>
      <c r="O32">
        <f>(stylometry_data_drama!O32 - MIN(stylometry_data_drama!O$2:O$37))/(MAX(stylometry_data_drama!O$2:O$37) - MIN(stylometry_data_drama!O$2:O$37))</f>
        <v>0.76470588235294112</v>
      </c>
      <c r="P32">
        <f>(stylometry_data_drama!P32 - MIN(stylometry_data_drama!P$2:P$37))/(MAX(stylometry_data_drama!P$2:P$37) - MIN(stylometry_data_drama!P$2:P$37))</f>
        <v>0.68699186991869898</v>
      </c>
      <c r="Q32">
        <f>(stylometry_data_drama!Q32 - MIN(stylometry_data_drama!Q$2:Q$37))/(MAX(stylometry_data_drama!Q$2:Q$37) - MIN(stylometry_data_drama!Q$2:Q$37))</f>
        <v>0.69756662804171488</v>
      </c>
      <c r="R32">
        <f>(stylometry_data_drama!R32 - MIN(stylometry_data_drama!R$2:R$37))/(MAX(stylometry_data_drama!R$2:R$37) - MIN(stylometry_data_drama!R$2:R$37))</f>
        <v>0.66666666666666663</v>
      </c>
      <c r="S32">
        <f>(stylometry_data_drama!S32 - MIN(stylometry_data_drama!S$2:S$37))/(MAX(stylometry_data_drama!S$2:S$37) - MIN(stylometry_data_drama!S$2:S$37))</f>
        <v>0</v>
      </c>
      <c r="T32">
        <f>(stylometry_data_drama!T32 - MIN(stylometry_data_drama!T$2:T$37))/(MAX(stylometry_data_drama!T$2:T$37) - MIN(stylometry_data_drama!T$2:T$37))</f>
        <v>0.10524461445540574</v>
      </c>
      <c r="U32">
        <f>(stylometry_data_drama!U32 - MIN(stylometry_data_drama!U$2:U$37))/(MAX(stylometry_data_drama!U$2:U$37) - MIN(stylometry_data_drama!U$2:U$37))</f>
        <v>0.25887763179157675</v>
      </c>
      <c r="V32">
        <f>(stylometry_data_drama!V32 - MIN(stylometry_data_drama!V$2:V$37))/(MAX(stylometry_data_drama!V$2:V$37) - MIN(stylometry_data_drama!V$2:V$37))</f>
        <v>0.41428571428571431</v>
      </c>
      <c r="W32">
        <f>(stylometry_data_drama!W32 - MIN(stylometry_data_drama!W$2:W$37))/(MAX(stylometry_data_drama!W$2:W$37) - MIN(stylometry_data_drama!W$2:W$37))</f>
        <v>5.1282051282051287E-2</v>
      </c>
      <c r="X32">
        <f>(stylometry_data_drama!X32 - MIN(stylometry_data_drama!X$2:X$37))/(MAX(stylometry_data_drama!X$2:X$37) - MIN(stylometry_data_drama!X$2:X$37))</f>
        <v>8.3612040133779347E-2</v>
      </c>
      <c r="Y32">
        <f>(stylometry_data_drama!Y32 - MIN(stylometry_data_drama!Y$2:Y$37))/(MAX(stylometry_data_drama!Y$2:Y$37) - MIN(stylometry_data_drama!Y$2:Y$37))</f>
        <v>0.9767441860465117</v>
      </c>
      <c r="Z32">
        <f>(stylometry_data_drama!Z32 - MIN(stylometry_data_drama!Z$2:Z$37))/(MAX(stylometry_data_drama!Z$2:Z$37) - MIN(stylometry_data_drama!Z$2:Z$37))</f>
        <v>7.5950247913170593E-2</v>
      </c>
      <c r="AA32" t="s">
        <v>55</v>
      </c>
    </row>
    <row r="33" spans="1:27" x14ac:dyDescent="0.2">
      <c r="A33">
        <f>(stylometry_data_drama!A33 - MIN(stylometry_data_drama!A$2:A$37))/(MAX(stylometry_data_drama!A$2:A$37) - MIN(stylometry_data_drama!A$2:A$37))</f>
        <v>0.70222822417285624</v>
      </c>
      <c r="B33">
        <f>(stylometry_data_drama!B33 - MIN(stylometry_data_drama!B$2:B$37))/(MAX(stylometry_data_drama!B$2:B$37) - MIN(stylometry_data_drama!B$2:B$37))</f>
        <v>0.94091710758377434</v>
      </c>
      <c r="C33">
        <f>(stylometry_data_drama!C33 - MIN(stylometry_data_drama!C$2:C$37))/(MAX(stylometry_data_drama!C$2:C$37) - MIN(stylometry_data_drama!C$2:C$37))</f>
        <v>0.28888888888888886</v>
      </c>
      <c r="D33">
        <f>(stylometry_data_drama!D33 - MIN(stylometry_data_drama!D$2:D$37))/(MAX(stylometry_data_drama!D$2:D$37) - MIN(stylometry_data_drama!D$2:D$37))</f>
        <v>0.77669902912621369</v>
      </c>
      <c r="E33">
        <f>(stylometry_data_drama!E33 - MIN(stylometry_data_drama!E$2:E$37))/(MAX(stylometry_data_drama!E$2:E$37) - MIN(stylometry_data_drama!E$2:E$37))</f>
        <v>8.7499999999999994E-2</v>
      </c>
      <c r="F33">
        <f>(stylometry_data_drama!F33 - MIN(stylometry_data_drama!F$2:F$37))/(MAX(stylometry_data_drama!F$2:F$37) - MIN(stylometry_data_drama!F$2:F$37))</f>
        <v>0.70312500000000011</v>
      </c>
      <c r="G33">
        <f>(stylometry_data_drama!G33 - MIN(stylometry_data_drama!G$2:G$37))/(MAX(stylometry_data_drama!G$2:G$37) - MIN(stylometry_data_drama!G$2:G$37))</f>
        <v>0.72527472527472525</v>
      </c>
      <c r="H33">
        <f>(stylometry_data_drama!H33 - MIN(stylometry_data_drama!H$2:H$37))/(MAX(stylometry_data_drama!H$2:H$37) - MIN(stylometry_data_drama!H$2:H$37))</f>
        <v>0.27272727272727271</v>
      </c>
      <c r="I33">
        <f>(stylometry_data_drama!I33 - MIN(stylometry_data_drama!I$2:I$37))/(MAX(stylometry_data_drama!I$2:I$37) - MIN(stylometry_data_drama!I$2:I$37))</f>
        <v>0.5</v>
      </c>
      <c r="J33">
        <f>(stylometry_data_drama!J33 - MIN(stylometry_data_drama!J$2:J$37))/(MAX(stylometry_data_drama!J$2:J$37) - MIN(stylometry_data_drama!J$2:J$37))</f>
        <v>0</v>
      </c>
      <c r="K33">
        <f>(stylometry_data_drama!K33 - MIN(stylometry_data_drama!K$2:K$37))/(MAX(stylometry_data_drama!K$2:K$37) - MIN(stylometry_data_drama!K$2:K$37))</f>
        <v>1</v>
      </c>
      <c r="L33">
        <f>(stylometry_data_drama!L33 - MIN(stylometry_data_drama!L$2:L$37))/(MAX(stylometry_data_drama!L$2:L$37) - MIN(stylometry_data_drama!L$2:L$37))</f>
        <v>0.61290322580645162</v>
      </c>
      <c r="M33">
        <f>(stylometry_data_drama!M33 - MIN(stylometry_data_drama!M$2:M$37))/(MAX(stylometry_data_drama!M$2:M$37) - MIN(stylometry_data_drama!M$2:M$37))</f>
        <v>0.2745098039215686</v>
      </c>
      <c r="N33">
        <f>(stylometry_data_drama!N33 - MIN(stylometry_data_drama!N$2:N$37))/(MAX(stylometry_data_drama!N$2:N$37) - MIN(stylometry_data_drama!N$2:N$37))</f>
        <v>0.87457627118644077</v>
      </c>
      <c r="O33">
        <f>(stylometry_data_drama!O33 - MIN(stylometry_data_drama!O$2:O$37))/(MAX(stylometry_data_drama!O$2:O$37) - MIN(stylometry_data_drama!O$2:O$37))</f>
        <v>0.79044117647058831</v>
      </c>
      <c r="P33">
        <f>(stylometry_data_drama!P33 - MIN(stylometry_data_drama!P$2:P$37))/(MAX(stylometry_data_drama!P$2:P$37) - MIN(stylometry_data_drama!P$2:P$37))</f>
        <v>0.75609756097560954</v>
      </c>
      <c r="Q33">
        <f>(stylometry_data_drama!Q33 - MIN(stylometry_data_drama!Q$2:Q$37))/(MAX(stylometry_data_drama!Q$2:Q$37) - MIN(stylometry_data_drama!Q$2:Q$37))</f>
        <v>0.83429895712630342</v>
      </c>
      <c r="R33">
        <f>(stylometry_data_drama!R33 - MIN(stylometry_data_drama!R$2:R$37))/(MAX(stylometry_data_drama!R$2:R$37) - MIN(stylometry_data_drama!R$2:R$37))</f>
        <v>0.4</v>
      </c>
      <c r="S33">
        <f>(stylometry_data_drama!S33 - MIN(stylometry_data_drama!S$2:S$37))/(MAX(stylometry_data_drama!S$2:S$37) - MIN(stylometry_data_drama!S$2:S$37))</f>
        <v>0.12</v>
      </c>
      <c r="T33">
        <f>(stylometry_data_drama!T33 - MIN(stylometry_data_drama!T$2:T$37))/(MAX(stylometry_data_drama!T$2:T$37) - MIN(stylometry_data_drama!T$2:T$37))</f>
        <v>0.15638212200523463</v>
      </c>
      <c r="U33">
        <f>(stylometry_data_drama!U33 - MIN(stylometry_data_drama!U$2:U$37))/(MAX(stylometry_data_drama!U$2:U$37) - MIN(stylometry_data_drama!U$2:U$37))</f>
        <v>0.33334702809892008</v>
      </c>
      <c r="V33">
        <f>(stylometry_data_drama!V33 - MIN(stylometry_data_drama!V$2:V$37))/(MAX(stylometry_data_drama!V$2:V$37) - MIN(stylometry_data_drama!V$2:V$37))</f>
        <v>0.41428571428571431</v>
      </c>
      <c r="W33">
        <f>(stylometry_data_drama!W33 - MIN(stylometry_data_drama!W$2:W$37))/(MAX(stylometry_data_drama!W$2:W$37) - MIN(stylometry_data_drama!W$2:W$37))</f>
        <v>0.51282051282051289</v>
      </c>
      <c r="X33">
        <f>(stylometry_data_drama!X33 - MIN(stylometry_data_drama!X$2:X$37))/(MAX(stylometry_data_drama!X$2:X$37) - MIN(stylometry_data_drama!X$2:X$37))</f>
        <v>0.17391304347826078</v>
      </c>
      <c r="Y33">
        <f>(stylometry_data_drama!Y33 - MIN(stylometry_data_drama!Y$2:Y$37))/(MAX(stylometry_data_drama!Y$2:Y$37) - MIN(stylometry_data_drama!Y$2:Y$37))</f>
        <v>1</v>
      </c>
      <c r="Z33">
        <f>(stylometry_data_drama!Z33 - MIN(stylometry_data_drama!Z$2:Z$37))/(MAX(stylometry_data_drama!Z$2:Z$37) - MIN(stylometry_data_drama!Z$2:Z$37))</f>
        <v>1.7369063155280126E-2</v>
      </c>
      <c r="AA33" t="s">
        <v>56</v>
      </c>
    </row>
    <row r="34" spans="1:27" x14ac:dyDescent="0.2">
      <c r="A34">
        <f>(stylometry_data_drama!A34 - MIN(stylometry_data_drama!A$2:A$37))/(MAX(stylometry_data_drama!A$2:A$37) - MIN(stylometry_data_drama!A$2:A$37))</f>
        <v>0.72180958811613782</v>
      </c>
      <c r="B34">
        <f>(stylometry_data_drama!B34 - MIN(stylometry_data_drama!B$2:B$37))/(MAX(stylometry_data_drama!B$2:B$37) - MIN(stylometry_data_drama!B$2:B$37))</f>
        <v>0.88447971781305124</v>
      </c>
      <c r="C34">
        <f>(stylometry_data_drama!C34 - MIN(stylometry_data_drama!C$2:C$37))/(MAX(stylometry_data_drama!C$2:C$37) - MIN(stylometry_data_drama!C$2:C$37))</f>
        <v>0.55555555555555558</v>
      </c>
      <c r="D34">
        <f>(stylometry_data_drama!D34 - MIN(stylometry_data_drama!D$2:D$37))/(MAX(stylometry_data_drama!D$2:D$37) - MIN(stylometry_data_drama!D$2:D$37))</f>
        <v>0.63106796116504849</v>
      </c>
      <c r="E34">
        <f>(stylometry_data_drama!E34 - MIN(stylometry_data_drama!E$2:E$37))/(MAX(stylometry_data_drama!E$2:E$37) - MIN(stylometry_data_drama!E$2:E$37))</f>
        <v>0.73750000000000004</v>
      </c>
      <c r="F34">
        <f>(stylometry_data_drama!F34 - MIN(stylometry_data_drama!F$2:F$37))/(MAX(stylometry_data_drama!F$2:F$37) - MIN(stylometry_data_drama!F$2:F$37))</f>
        <v>0.984375</v>
      </c>
      <c r="G34">
        <f>(stylometry_data_drama!G34 - MIN(stylometry_data_drama!G$2:G$37))/(MAX(stylometry_data_drama!G$2:G$37) - MIN(stylometry_data_drama!G$2:G$37))</f>
        <v>0.74725274725274715</v>
      </c>
      <c r="H34">
        <f>(stylometry_data_drama!H34 - MIN(stylometry_data_drama!H$2:H$37))/(MAX(stylometry_data_drama!H$2:H$37) - MIN(stylometry_data_drama!H$2:H$37))</f>
        <v>0.45454545454545453</v>
      </c>
      <c r="I34">
        <f>(stylometry_data_drama!I34 - MIN(stylometry_data_drama!I$2:I$37))/(MAX(stylometry_data_drama!I$2:I$37) - MIN(stylometry_data_drama!I$2:I$37))</f>
        <v>0.125</v>
      </c>
      <c r="J34">
        <f>(stylometry_data_drama!J34 - MIN(stylometry_data_drama!J$2:J$37))/(MAX(stylometry_data_drama!J$2:J$37) - MIN(stylometry_data_drama!J$2:J$37))</f>
        <v>0</v>
      </c>
      <c r="K34">
        <f>(stylometry_data_drama!K34 - MIN(stylometry_data_drama!K$2:K$37))/(MAX(stylometry_data_drama!K$2:K$37) - MIN(stylometry_data_drama!K$2:K$37))</f>
        <v>0</v>
      </c>
      <c r="L34">
        <f>(stylometry_data_drama!L34 - MIN(stylometry_data_drama!L$2:L$37))/(MAX(stylometry_data_drama!L$2:L$37) - MIN(stylometry_data_drama!L$2:L$37))</f>
        <v>0.66129032258064513</v>
      </c>
      <c r="M34">
        <f>(stylometry_data_drama!M34 - MIN(stylometry_data_drama!M$2:M$37))/(MAX(stylometry_data_drama!M$2:M$37) - MIN(stylometry_data_drama!M$2:M$37))</f>
        <v>0.24509803921568626</v>
      </c>
      <c r="N34">
        <f>(stylometry_data_drama!N34 - MIN(stylometry_data_drama!N$2:N$37))/(MAX(stylometry_data_drama!N$2:N$37) - MIN(stylometry_data_drama!N$2:N$37))</f>
        <v>0.6372881355932204</v>
      </c>
      <c r="O34">
        <f>(stylometry_data_drama!O34 - MIN(stylometry_data_drama!O$2:O$37))/(MAX(stylometry_data_drama!O$2:O$37) - MIN(stylometry_data_drama!O$2:O$37))</f>
        <v>0.58823529411764708</v>
      </c>
      <c r="P34">
        <f>(stylometry_data_drama!P34 - MIN(stylometry_data_drama!P$2:P$37))/(MAX(stylometry_data_drama!P$2:P$37) - MIN(stylometry_data_drama!P$2:P$37))</f>
        <v>0.45121951219512191</v>
      </c>
      <c r="Q34">
        <f>(stylometry_data_drama!Q34 - MIN(stylometry_data_drama!Q$2:Q$37))/(MAX(stylometry_data_drama!Q$2:Q$37) - MIN(stylometry_data_drama!Q$2:Q$37))</f>
        <v>1</v>
      </c>
      <c r="R34">
        <f>(stylometry_data_drama!R34 - MIN(stylometry_data_drama!R$2:R$37))/(MAX(stylometry_data_drama!R$2:R$37) - MIN(stylometry_data_drama!R$2:R$37))</f>
        <v>0.31111111111111112</v>
      </c>
      <c r="S34">
        <f>(stylometry_data_drama!S34 - MIN(stylometry_data_drama!S$2:S$37))/(MAX(stylometry_data_drama!S$2:S$37) - MIN(stylometry_data_drama!S$2:S$37))</f>
        <v>0</v>
      </c>
      <c r="T34">
        <f>(stylometry_data_drama!T34 - MIN(stylometry_data_drama!T$2:T$37))/(MAX(stylometry_data_drama!T$2:T$37) - MIN(stylometry_data_drama!T$2:T$37))</f>
        <v>0.15965371451580429</v>
      </c>
      <c r="U34">
        <f>(stylometry_data_drama!U34 - MIN(stylometry_data_drama!U$2:U$37))/(MAX(stylometry_data_drama!U$2:U$37) - MIN(stylometry_data_drama!U$2:U$37))</f>
        <v>0.26721610066200507</v>
      </c>
      <c r="V34">
        <f>(stylometry_data_drama!V34 - MIN(stylometry_data_drama!V$2:V$37))/(MAX(stylometry_data_drama!V$2:V$37) - MIN(stylometry_data_drama!V$2:V$37))</f>
        <v>0.3714285714285715</v>
      </c>
      <c r="W34">
        <f>(stylometry_data_drama!W34 - MIN(stylometry_data_drama!W$2:W$37))/(MAX(stylometry_data_drama!W$2:W$37) - MIN(stylometry_data_drama!W$2:W$37))</f>
        <v>0.51282051282051289</v>
      </c>
      <c r="X34">
        <f>(stylometry_data_drama!X34 - MIN(stylometry_data_drama!X$2:X$37))/(MAX(stylometry_data_drama!X$2:X$37) - MIN(stylometry_data_drama!X$2:X$37))</f>
        <v>0.21404682274247491</v>
      </c>
      <c r="Y34">
        <f>(stylometry_data_drama!Y34 - MIN(stylometry_data_drama!Y$2:Y$37))/(MAX(stylometry_data_drama!Y$2:Y$37) - MIN(stylometry_data_drama!Y$2:Y$37))</f>
        <v>0.53488372093023262</v>
      </c>
      <c r="Z34">
        <f>(stylometry_data_drama!Z34 - MIN(stylometry_data_drama!Z$2:Z$37))/(MAX(stylometry_data_drama!Z$2:Z$37) - MIN(stylometry_data_drama!Z$2:Z$37))</f>
        <v>0</v>
      </c>
      <c r="AA34" t="s">
        <v>57</v>
      </c>
    </row>
    <row r="35" spans="1:27" x14ac:dyDescent="0.2">
      <c r="A35">
        <f>(stylometry_data_drama!A35 - MIN(stylometry_data_drama!A$2:A$37))/(MAX(stylometry_data_drama!A$2:A$37) - MIN(stylometry_data_drama!A$2:A$37))</f>
        <v>0.76907494935854159</v>
      </c>
      <c r="B35">
        <f>(stylometry_data_drama!B35 - MIN(stylometry_data_drama!B$2:B$37))/(MAX(stylometry_data_drama!B$2:B$37) - MIN(stylometry_data_drama!B$2:B$37))</f>
        <v>0.8571428571428571</v>
      </c>
      <c r="C35">
        <f>(stylometry_data_drama!C35 - MIN(stylometry_data_drama!C$2:C$37))/(MAX(stylometry_data_drama!C$2:C$37) - MIN(stylometry_data_drama!C$2:C$37))</f>
        <v>0.31111111111111112</v>
      </c>
      <c r="D35">
        <f>(stylometry_data_drama!D35 - MIN(stylometry_data_drama!D$2:D$37))/(MAX(stylometry_data_drama!D$2:D$37) - MIN(stylometry_data_drama!D$2:D$37))</f>
        <v>0.66019417475728148</v>
      </c>
      <c r="E35">
        <f>(stylometry_data_drama!E35 - MIN(stylometry_data_drama!E$2:E$37))/(MAX(stylometry_data_drama!E$2:E$37) - MIN(stylometry_data_drama!E$2:E$37))</f>
        <v>0.3</v>
      </c>
      <c r="F35">
        <f>(stylometry_data_drama!F35 - MIN(stylometry_data_drama!F$2:F$37))/(MAX(stylometry_data_drama!F$2:F$37) - MIN(stylometry_data_drama!F$2:F$37))</f>
        <v>0.828125</v>
      </c>
      <c r="G35">
        <f>(stylometry_data_drama!G35 - MIN(stylometry_data_drama!G$2:G$37))/(MAX(stylometry_data_drama!G$2:G$37) - MIN(stylometry_data_drama!G$2:G$37))</f>
        <v>0.5714285714285714</v>
      </c>
      <c r="H35">
        <f>(stylometry_data_drama!H35 - MIN(stylometry_data_drama!H$2:H$37))/(MAX(stylometry_data_drama!H$2:H$37) - MIN(stylometry_data_drama!H$2:H$37))</f>
        <v>0.72727272727272729</v>
      </c>
      <c r="I35">
        <f>(stylometry_data_drama!I35 - MIN(stylometry_data_drama!I$2:I$37))/(MAX(stylometry_data_drama!I$2:I$37) - MIN(stylometry_data_drama!I$2:I$37))</f>
        <v>0</v>
      </c>
      <c r="J35">
        <f>(stylometry_data_drama!J35 - MIN(stylometry_data_drama!J$2:J$37))/(MAX(stylometry_data_drama!J$2:J$37) - MIN(stylometry_data_drama!J$2:J$37))</f>
        <v>0</v>
      </c>
      <c r="K35">
        <f>(stylometry_data_drama!K35 - MIN(stylometry_data_drama!K$2:K$37))/(MAX(stylometry_data_drama!K$2:K$37) - MIN(stylometry_data_drama!K$2:K$37))</f>
        <v>0</v>
      </c>
      <c r="L35">
        <f>(stylometry_data_drama!L35 - MIN(stylometry_data_drama!L$2:L$37))/(MAX(stylometry_data_drama!L$2:L$37) - MIN(stylometry_data_drama!L$2:L$37))</f>
        <v>0.82258064516129037</v>
      </c>
      <c r="M35">
        <f>(stylometry_data_drama!M35 - MIN(stylometry_data_drama!M$2:M$37))/(MAX(stylometry_data_drama!M$2:M$37) - MIN(stylometry_data_drama!M$2:M$37))</f>
        <v>0.34313725490196073</v>
      </c>
      <c r="N35">
        <f>(stylometry_data_drama!N35 - MIN(stylometry_data_drama!N$2:N$37))/(MAX(stylometry_data_drama!N$2:N$37) - MIN(stylometry_data_drama!N$2:N$37))</f>
        <v>0.85762711864406782</v>
      </c>
      <c r="O35">
        <f>(stylometry_data_drama!O35 - MIN(stylometry_data_drama!O$2:O$37))/(MAX(stylometry_data_drama!O$2:O$37) - MIN(stylometry_data_drama!O$2:O$37))</f>
        <v>0.73529411764705888</v>
      </c>
      <c r="P35">
        <f>(stylometry_data_drama!P35 - MIN(stylometry_data_drama!P$2:P$37))/(MAX(stylometry_data_drama!P$2:P$37) - MIN(stylometry_data_drama!P$2:P$37))</f>
        <v>0.77235772357723564</v>
      </c>
      <c r="Q35">
        <f>(stylometry_data_drama!Q35 - MIN(stylometry_data_drama!Q$2:Q$37))/(MAX(stylometry_data_drama!Q$2:Q$37) - MIN(stylometry_data_drama!Q$2:Q$37))</f>
        <v>0.70104287369640772</v>
      </c>
      <c r="R35">
        <f>(stylometry_data_drama!R35 - MIN(stylometry_data_drama!R$2:R$37))/(MAX(stylometry_data_drama!R$2:R$37) - MIN(stylometry_data_drama!R$2:R$37))</f>
        <v>0.31111111111111112</v>
      </c>
      <c r="S35">
        <f>(stylometry_data_drama!S35 - MIN(stylometry_data_drama!S$2:S$37))/(MAX(stylometry_data_drama!S$2:S$37) - MIN(stylometry_data_drama!S$2:S$37))</f>
        <v>0.2</v>
      </c>
      <c r="T35">
        <f>(stylometry_data_drama!T35 - MIN(stylometry_data_drama!T$2:T$37))/(MAX(stylometry_data_drama!T$2:T$37) - MIN(stylometry_data_drama!T$2:T$37))</f>
        <v>0.40799275216428427</v>
      </c>
      <c r="U35">
        <f>(stylometry_data_drama!U35 - MIN(stylometry_data_drama!U$2:U$37))/(MAX(stylometry_data_drama!U$2:U$37) - MIN(stylometry_data_drama!U$2:U$37))</f>
        <v>0.15910249984251029</v>
      </c>
      <c r="V35">
        <f>(stylometry_data_drama!V35 - MIN(stylometry_data_drama!V$2:V$37))/(MAX(stylometry_data_drama!V$2:V$37) - MIN(stylometry_data_drama!V$2:V$37))</f>
        <v>0.38571428571428573</v>
      </c>
      <c r="W35">
        <f>(stylometry_data_drama!W35 - MIN(stylometry_data_drama!W$2:W$37))/(MAX(stylometry_data_drama!W$2:W$37) - MIN(stylometry_data_drama!W$2:W$37))</f>
        <v>0.15384615384615388</v>
      </c>
      <c r="X35">
        <f>(stylometry_data_drama!X35 - MIN(stylometry_data_drama!X$2:X$37))/(MAX(stylometry_data_drama!X$2:X$37) - MIN(stylometry_data_drama!X$2:X$37))</f>
        <v>0.33110367892976578</v>
      </c>
      <c r="Y35">
        <f>(stylometry_data_drama!Y35 - MIN(stylometry_data_drama!Y$2:Y$37))/(MAX(stylometry_data_drama!Y$2:Y$37) - MIN(stylometry_data_drama!Y$2:Y$37))</f>
        <v>0.11627906976744187</v>
      </c>
      <c r="Z35">
        <f>(stylometry_data_drama!Z35 - MIN(stylometry_data_drama!Z$2:Z$37))/(MAX(stylometry_data_drama!Z$2:Z$37) - MIN(stylometry_data_drama!Z$2:Z$37))</f>
        <v>7.9491197318652576E-2</v>
      </c>
      <c r="AA35" t="s">
        <v>58</v>
      </c>
    </row>
    <row r="36" spans="1:27" x14ac:dyDescent="0.2">
      <c r="A36">
        <f>(stylometry_data_drama!A36 - MIN(stylometry_data_drama!A$2:A$37))/(MAX(stylometry_data_drama!A$2:A$37) - MIN(stylometry_data_drama!A$2:A$37))</f>
        <v>0.70425388251181642</v>
      </c>
      <c r="B36">
        <f>(stylometry_data_drama!B36 - MIN(stylometry_data_drama!B$2:B$37))/(MAX(stylometry_data_drama!B$2:B$37) - MIN(stylometry_data_drama!B$2:B$37))</f>
        <v>0.89947089947089953</v>
      </c>
      <c r="C36">
        <f>(stylometry_data_drama!C36 - MIN(stylometry_data_drama!C$2:C$37))/(MAX(stylometry_data_drama!C$2:C$37) - MIN(stylometry_data_drama!C$2:C$37))</f>
        <v>6.6666666666666666E-2</v>
      </c>
      <c r="D36">
        <f>(stylometry_data_drama!D36 - MIN(stylometry_data_drama!D$2:D$37))/(MAX(stylometry_data_drama!D$2:D$37) - MIN(stylometry_data_drama!D$2:D$37))</f>
        <v>1</v>
      </c>
      <c r="E36">
        <f>(stylometry_data_drama!E36 - MIN(stylometry_data_drama!E$2:E$37))/(MAX(stylometry_data_drama!E$2:E$37) - MIN(stylometry_data_drama!E$2:E$37))</f>
        <v>3.7499999999999992E-2</v>
      </c>
      <c r="F36">
        <f>(stylometry_data_drama!F36 - MIN(stylometry_data_drama!F$2:F$37))/(MAX(stylometry_data_drama!F$2:F$37) - MIN(stylometry_data_drama!F$2:F$37))</f>
        <v>1</v>
      </c>
      <c r="G36">
        <f>(stylometry_data_drama!G36 - MIN(stylometry_data_drama!G$2:G$37))/(MAX(stylometry_data_drama!G$2:G$37) - MIN(stylometry_data_drama!G$2:G$37))</f>
        <v>0.78021978021978022</v>
      </c>
      <c r="H36">
        <f>(stylometry_data_drama!H36 - MIN(stylometry_data_drama!H$2:H$37))/(MAX(stylometry_data_drama!H$2:H$37) - MIN(stylometry_data_drama!H$2:H$37))</f>
        <v>1</v>
      </c>
      <c r="I36">
        <f>(stylometry_data_drama!I36 - MIN(stylometry_data_drama!I$2:I$37))/(MAX(stylometry_data_drama!I$2:I$37) - MIN(stylometry_data_drama!I$2:I$37))</f>
        <v>0.6875</v>
      </c>
      <c r="J36">
        <f>(stylometry_data_drama!J36 - MIN(stylometry_data_drama!J$2:J$37))/(MAX(stylometry_data_drama!J$2:J$37) - MIN(stylometry_data_drama!J$2:J$37))</f>
        <v>1</v>
      </c>
      <c r="K36">
        <f>(stylometry_data_drama!K36 - MIN(stylometry_data_drama!K$2:K$37))/(MAX(stylometry_data_drama!K$2:K$37) - MIN(stylometry_data_drama!K$2:K$37))</f>
        <v>0</v>
      </c>
      <c r="L36">
        <f>(stylometry_data_drama!L36 - MIN(stylometry_data_drama!L$2:L$37))/(MAX(stylometry_data_drama!L$2:L$37) - MIN(stylometry_data_drama!L$2:L$37))</f>
        <v>0.41935483870967749</v>
      </c>
      <c r="M36">
        <f>(stylometry_data_drama!M36 - MIN(stylometry_data_drama!M$2:M$37))/(MAX(stylometry_data_drama!M$2:M$37) - MIN(stylometry_data_drama!M$2:M$37))</f>
        <v>0.29411764705882348</v>
      </c>
      <c r="N36">
        <f>(stylometry_data_drama!N36 - MIN(stylometry_data_drama!N$2:N$37))/(MAX(stylometry_data_drama!N$2:N$37) - MIN(stylometry_data_drama!N$2:N$37))</f>
        <v>1</v>
      </c>
      <c r="O36">
        <f>(stylometry_data_drama!O36 - MIN(stylometry_data_drama!O$2:O$37))/(MAX(stylometry_data_drama!O$2:O$37) - MIN(stylometry_data_drama!O$2:O$37))</f>
        <v>0.65808823529411764</v>
      </c>
      <c r="P36">
        <f>(stylometry_data_drama!P36 - MIN(stylometry_data_drama!P$2:P$37))/(MAX(stylometry_data_drama!P$2:P$37) - MIN(stylometry_data_drama!P$2:P$37))</f>
        <v>1</v>
      </c>
      <c r="Q36">
        <f>(stylometry_data_drama!Q36 - MIN(stylometry_data_drama!Q$2:Q$37))/(MAX(stylometry_data_drama!Q$2:Q$37) - MIN(stylometry_data_drama!Q$2:Q$37))</f>
        <v>0.36500579374275782</v>
      </c>
      <c r="R36">
        <f>(stylometry_data_drama!R36 - MIN(stylometry_data_drama!R$2:R$37))/(MAX(stylometry_data_drama!R$2:R$37) - MIN(stylometry_data_drama!R$2:R$37))</f>
        <v>0.24444444444444446</v>
      </c>
      <c r="S36">
        <f>(stylometry_data_drama!S36 - MIN(stylometry_data_drama!S$2:S$37))/(MAX(stylometry_data_drama!S$2:S$37) - MIN(stylometry_data_drama!S$2:S$37))</f>
        <v>0.12</v>
      </c>
      <c r="T36">
        <f>(stylometry_data_drama!T36 - MIN(stylometry_data_drama!T$2:T$37))/(MAX(stylometry_data_drama!T$2:T$37) - MIN(stylometry_data_drama!T$2:T$37))</f>
        <v>0.7779343668210188</v>
      </c>
      <c r="U36">
        <f>(stylometry_data_drama!U36 - MIN(stylometry_data_drama!U$2:U$37))/(MAX(stylometry_data_drama!U$2:U$37) - MIN(stylometry_data_drama!U$2:U$37))</f>
        <v>0.37370276332980013</v>
      </c>
      <c r="V36">
        <f>(stylometry_data_drama!V36 - MIN(stylometry_data_drama!V$2:V$37))/(MAX(stylometry_data_drama!V$2:V$37) - MIN(stylometry_data_drama!V$2:V$37))</f>
        <v>0.3</v>
      </c>
      <c r="W36">
        <f>(stylometry_data_drama!W36 - MIN(stylometry_data_drama!W$2:W$37))/(MAX(stylometry_data_drama!W$2:W$37) - MIN(stylometry_data_drama!W$2:W$37))</f>
        <v>0.20512820512820515</v>
      </c>
      <c r="X36">
        <f>(stylometry_data_drama!X36 - MIN(stylometry_data_drama!X$2:X$37))/(MAX(stylometry_data_drama!X$2:X$37) - MIN(stylometry_data_drama!X$2:X$37))</f>
        <v>0.779264214046823</v>
      </c>
      <c r="Y36">
        <f>(stylometry_data_drama!Y36 - MIN(stylometry_data_drama!Y$2:Y$37))/(MAX(stylometry_data_drama!Y$2:Y$37) - MIN(stylometry_data_drama!Y$2:Y$37))</f>
        <v>0.44186046511627908</v>
      </c>
      <c r="Z36">
        <f>(stylometry_data_drama!Z36 - MIN(stylometry_data_drama!Z$2:Z$37))/(MAX(stylometry_data_drama!Z$2:Z$37) - MIN(stylometry_data_drama!Z$2:Z$37))</f>
        <v>0.29427121001794065</v>
      </c>
      <c r="AA36" t="s">
        <v>59</v>
      </c>
    </row>
    <row r="37" spans="1:27" x14ac:dyDescent="0.2">
      <c r="A37">
        <f>(stylometry_data_drama!A37 - MIN(stylometry_data_drama!A$2:A$37))/(MAX(stylometry_data_drama!A$2:A$37) - MIN(stylometry_data_drama!A$2:A$37))</f>
        <v>0.65698852126941254</v>
      </c>
      <c r="B37">
        <f>(stylometry_data_drama!B37 - MIN(stylometry_data_drama!B$2:B$37))/(MAX(stylometry_data_drama!B$2:B$37) - MIN(stylometry_data_drama!B$2:B$37))</f>
        <v>0.86419753086419759</v>
      </c>
      <c r="C37">
        <f>(stylometry_data_drama!C37 - MIN(stylometry_data_drama!C$2:C$37))/(MAX(stylometry_data_drama!C$2:C$37) - MIN(stylometry_data_drama!C$2:C$37))</f>
        <v>0.31111111111111112</v>
      </c>
      <c r="D37">
        <f>(stylometry_data_drama!D37 - MIN(stylometry_data_drama!D$2:D$37))/(MAX(stylometry_data_drama!D$2:D$37) - MIN(stylometry_data_drama!D$2:D$37))</f>
        <v>0.58252427184466016</v>
      </c>
      <c r="E37">
        <f>(stylometry_data_drama!E37 - MIN(stylometry_data_drama!E$2:E$37))/(MAX(stylometry_data_drama!E$2:E$37) - MIN(stylometry_data_drama!E$2:E$37))</f>
        <v>0.18749999999999997</v>
      </c>
      <c r="F37">
        <f>(stylometry_data_drama!F37 - MIN(stylometry_data_drama!F$2:F$37))/(MAX(stylometry_data_drama!F$2:F$37) - MIN(stylometry_data_drama!F$2:F$37))</f>
        <v>0.765625</v>
      </c>
      <c r="G37">
        <f>(stylometry_data_drama!G37 - MIN(stylometry_data_drama!G$2:G$37))/(MAX(stylometry_data_drama!G$2:G$37) - MIN(stylometry_data_drama!G$2:G$37))</f>
        <v>0.70329670329670324</v>
      </c>
      <c r="H37">
        <f>(stylometry_data_drama!H37 - MIN(stylometry_data_drama!H$2:H$37))/(MAX(stylometry_data_drama!H$2:H$37) - MIN(stylometry_data_drama!H$2:H$37))</f>
        <v>0.63636363636363635</v>
      </c>
      <c r="I37">
        <f>(stylometry_data_drama!I37 - MIN(stylometry_data_drama!I$2:I$37))/(MAX(stylometry_data_drama!I$2:I$37) - MIN(stylometry_data_drama!I$2:I$37))</f>
        <v>0.75</v>
      </c>
      <c r="J37">
        <f>(stylometry_data_drama!J37 - MIN(stylometry_data_drama!J$2:J$37))/(MAX(stylometry_data_drama!J$2:J$37) - MIN(stylometry_data_drama!J$2:J$37))</f>
        <v>0</v>
      </c>
      <c r="K37">
        <f>(stylometry_data_drama!K37 - MIN(stylometry_data_drama!K$2:K$37))/(MAX(stylometry_data_drama!K$2:K$37) - MIN(stylometry_data_drama!K$2:K$37))</f>
        <v>0</v>
      </c>
      <c r="L37">
        <f>(stylometry_data_drama!L37 - MIN(stylometry_data_drama!L$2:L$37))/(MAX(stylometry_data_drama!L$2:L$37) - MIN(stylometry_data_drama!L$2:L$37))</f>
        <v>0.58064516129032251</v>
      </c>
      <c r="M37">
        <f>(stylometry_data_drama!M37 - MIN(stylometry_data_drama!M$2:M$37))/(MAX(stylometry_data_drama!M$2:M$37) - MIN(stylometry_data_drama!M$2:M$37))</f>
        <v>0.32352941176470584</v>
      </c>
      <c r="N37">
        <f>(stylometry_data_drama!N37 - MIN(stylometry_data_drama!N$2:N$37))/(MAX(stylometry_data_drama!N$2:N$37) - MIN(stylometry_data_drama!N$2:N$37))</f>
        <v>0.85762711864406782</v>
      </c>
      <c r="O37">
        <f>(stylometry_data_drama!O37 - MIN(stylometry_data_drama!O$2:O$37))/(MAX(stylometry_data_drama!O$2:O$37) - MIN(stylometry_data_drama!O$2:O$37))</f>
        <v>0.77573529411764708</v>
      </c>
      <c r="P37">
        <f>(stylometry_data_drama!P37 - MIN(stylometry_data_drama!P$2:P$37))/(MAX(stylometry_data_drama!P$2:P$37) - MIN(stylometry_data_drama!P$2:P$37))</f>
        <v>0.55284552845528445</v>
      </c>
      <c r="Q37">
        <f>(stylometry_data_drama!Q37 - MIN(stylometry_data_drama!Q$2:Q$37))/(MAX(stylometry_data_drama!Q$2:Q$37) - MIN(stylometry_data_drama!Q$2:Q$37))</f>
        <v>0.79837775202780981</v>
      </c>
      <c r="R37">
        <f>(stylometry_data_drama!R37 - MIN(stylometry_data_drama!R$2:R$37))/(MAX(stylometry_data_drama!R$2:R$37) - MIN(stylometry_data_drama!R$2:R$37))</f>
        <v>0.84444444444444455</v>
      </c>
      <c r="S37">
        <f>(stylometry_data_drama!S37 - MIN(stylometry_data_drama!S$2:S$37))/(MAX(stylometry_data_drama!S$2:S$37) - MIN(stylometry_data_drama!S$2:S$37))</f>
        <v>0.2</v>
      </c>
      <c r="T37">
        <f>(stylometry_data_drama!T37 - MIN(stylometry_data_drama!T$2:T$37))/(MAX(stylometry_data_drama!T$2:T$37) - MIN(stylometry_data_drama!T$2:T$37))</f>
        <v>0.32212603180994565</v>
      </c>
      <c r="U37">
        <f>(stylometry_data_drama!U37 - MIN(stylometry_data_drama!U$2:U$37))/(MAX(stylometry_data_drama!U$2:U$37) - MIN(stylometry_data_drama!U$2:U$37))</f>
        <v>0.23256286582142582</v>
      </c>
      <c r="V37">
        <f>(stylometry_data_drama!V37 - MIN(stylometry_data_drama!V$2:V$37))/(MAX(stylometry_data_drama!V$2:V$37) - MIN(stylometry_data_drama!V$2:V$37))</f>
        <v>0.55714285714285716</v>
      </c>
      <c r="W37">
        <f>(stylometry_data_drama!W37 - MIN(stylometry_data_drama!W$2:W$37))/(MAX(stylometry_data_drama!W$2:W$37) - MIN(stylometry_data_drama!W$2:W$37))</f>
        <v>0.28205128205128205</v>
      </c>
      <c r="X37">
        <f>(stylometry_data_drama!X37 - MIN(stylometry_data_drama!X$2:X$37))/(MAX(stylometry_data_drama!X$2:X$37) - MIN(stylometry_data_drama!X$2:X$37))</f>
        <v>1.0033444816053684E-2</v>
      </c>
      <c r="Y37">
        <f>(stylometry_data_drama!Y37 - MIN(stylometry_data_drama!Y$2:Y$37))/(MAX(stylometry_data_drama!Y$2:Y$37) - MIN(stylometry_data_drama!Y$2:Y$37))</f>
        <v>0.48837209302325585</v>
      </c>
      <c r="Z37">
        <f>(stylometry_data_drama!Z37 - MIN(stylometry_data_drama!Z$2:Z$37))/(MAX(stylometry_data_drama!Z$2:Z$37) - MIN(stylometry_data_drama!Z$2:Z$37))</f>
        <v>5.8673320638340569E-2</v>
      </c>
      <c r="AA37" t="s">
        <v>60</v>
      </c>
    </row>
  </sheetData>
  <sortState ref="AC1:AE37">
    <sortCondition descending="1" ref="AC1"/>
  </sortState>
  <pageMargins left="0.7" right="0.7" top="0.75" bottom="0.75" header="0.3" footer="0.3"/>
  <pageSetup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6"/>
  <sheetViews>
    <sheetView workbookViewId="0">
      <selection activeCell="C19" sqref="C19"/>
    </sheetView>
  </sheetViews>
  <sheetFormatPr baseColWidth="10" defaultRowHeight="16" x14ac:dyDescent="0.2"/>
  <sheetData>
    <row r="1" spans="1:26" x14ac:dyDescent="0.2">
      <c r="A1">
        <v>0.76299797434166106</v>
      </c>
      <c r="B1">
        <v>0.63492063492063489</v>
      </c>
      <c r="C1">
        <v>8.8888888888888892E-2</v>
      </c>
      <c r="D1">
        <v>0.66019417475728148</v>
      </c>
      <c r="E1">
        <v>0.25</v>
      </c>
      <c r="F1">
        <v>0.40625000000000011</v>
      </c>
      <c r="G1">
        <v>0.10989010989010989</v>
      </c>
      <c r="H1">
        <v>0.65454545454545454</v>
      </c>
      <c r="I1">
        <v>0.375</v>
      </c>
      <c r="J1">
        <v>0</v>
      </c>
      <c r="K1">
        <v>0</v>
      </c>
      <c r="L1">
        <v>0.25806451612903231</v>
      </c>
      <c r="M1">
        <v>0.44117647058823523</v>
      </c>
      <c r="N1">
        <v>0.81355932203389836</v>
      </c>
      <c r="O1">
        <v>0.69117647058823539</v>
      </c>
      <c r="P1">
        <v>0.52439024390243905</v>
      </c>
      <c r="Q1">
        <v>0.40672074159907301</v>
      </c>
      <c r="R1">
        <v>0.13333333333333333</v>
      </c>
      <c r="S1">
        <v>0.24</v>
      </c>
      <c r="T1">
        <v>0.52682705858667211</v>
      </c>
      <c r="U1">
        <v>0.25425756567324842</v>
      </c>
      <c r="V1">
        <v>0.2857142857142857</v>
      </c>
      <c r="W1">
        <v>0.58974358974358976</v>
      </c>
      <c r="X1">
        <v>0.66555183946488317</v>
      </c>
      <c r="Y1">
        <v>0</v>
      </c>
      <c r="Z1">
        <v>0.232915478860131</v>
      </c>
    </row>
    <row r="2" spans="1:26" x14ac:dyDescent="0.2">
      <c r="A2">
        <v>0.79945982444294406</v>
      </c>
      <c r="B2">
        <v>0.52821869488536166</v>
      </c>
      <c r="C2">
        <v>0</v>
      </c>
      <c r="D2">
        <v>0.68932038834951437</v>
      </c>
      <c r="E2">
        <v>0.57499999999999996</v>
      </c>
      <c r="F2">
        <v>0.609375</v>
      </c>
      <c r="G2">
        <v>0.38461538461538464</v>
      </c>
      <c r="H2">
        <v>0.61818181818181817</v>
      </c>
      <c r="I2">
        <v>0.625</v>
      </c>
      <c r="J2">
        <v>0</v>
      </c>
      <c r="K2">
        <v>0</v>
      </c>
      <c r="L2">
        <v>0.35483870967741937</v>
      </c>
      <c r="M2">
        <v>0.58823529411764697</v>
      </c>
      <c r="N2">
        <v>0.71864406779661016</v>
      </c>
      <c r="O2">
        <v>1</v>
      </c>
      <c r="P2">
        <v>0.48780487804878037</v>
      </c>
      <c r="Q2">
        <v>0.42641946697566629</v>
      </c>
      <c r="R2">
        <v>0.4</v>
      </c>
      <c r="S2">
        <v>0.32</v>
      </c>
      <c r="T2">
        <v>0.41836118381316689</v>
      </c>
      <c r="U2">
        <v>5.8457476383376845E-2</v>
      </c>
      <c r="V2">
        <v>0.4285714285714286</v>
      </c>
      <c r="W2">
        <v>0.92307692307692302</v>
      </c>
      <c r="X2">
        <v>1.0033444816053684E-2</v>
      </c>
      <c r="Y2">
        <v>0.23255813953488375</v>
      </c>
      <c r="Z2">
        <v>0.14963301892232589</v>
      </c>
    </row>
    <row r="3" spans="1:26" x14ac:dyDescent="0.2">
      <c r="A3">
        <v>0.92437542201215395</v>
      </c>
      <c r="B3">
        <v>0.61816578483245155</v>
      </c>
      <c r="C3">
        <v>0</v>
      </c>
      <c r="D3">
        <v>0.43689320388349512</v>
      </c>
      <c r="E3">
        <v>0.3</v>
      </c>
      <c r="F3">
        <v>0.28125</v>
      </c>
      <c r="G3">
        <v>3.2967032967032961E-2</v>
      </c>
      <c r="H3">
        <v>0.34545454545454546</v>
      </c>
      <c r="I3">
        <v>0.75</v>
      </c>
      <c r="J3">
        <v>0</v>
      </c>
      <c r="K3">
        <v>0</v>
      </c>
      <c r="L3">
        <v>8.0645161290322592E-2</v>
      </c>
      <c r="M3">
        <v>0.54901960784313719</v>
      </c>
      <c r="N3">
        <v>0.73559322033898311</v>
      </c>
      <c r="O3">
        <v>0.81250000000000011</v>
      </c>
      <c r="P3">
        <v>0.53252032520325199</v>
      </c>
      <c r="Q3">
        <v>0.38006952491309381</v>
      </c>
      <c r="R3">
        <v>0.33333333333333331</v>
      </c>
      <c r="S3">
        <v>0.36000000000000004</v>
      </c>
      <c r="T3">
        <v>0.42092812562915244</v>
      </c>
      <c r="U3">
        <v>0.23913470993117011</v>
      </c>
      <c r="V3">
        <v>0.18571428571428575</v>
      </c>
      <c r="W3">
        <v>0.5641025641025641</v>
      </c>
      <c r="X3">
        <v>0.54515050167224066</v>
      </c>
      <c r="Y3">
        <v>0.20930232558139536</v>
      </c>
      <c r="Z3">
        <v>0.15380361720312186</v>
      </c>
    </row>
    <row r="4" spans="1:26" x14ac:dyDescent="0.2">
      <c r="A4">
        <v>0.75489534098582045</v>
      </c>
      <c r="B4">
        <v>0.72398589065255736</v>
      </c>
      <c r="C4">
        <v>4.4444444444444446E-2</v>
      </c>
      <c r="D4">
        <v>0.46601941747572811</v>
      </c>
      <c r="E4">
        <v>0.16249999999999998</v>
      </c>
      <c r="F4">
        <v>0.26562500000000006</v>
      </c>
      <c r="G4">
        <v>0.13186813186813187</v>
      </c>
      <c r="H4">
        <v>0.45454545454545453</v>
      </c>
      <c r="I4">
        <v>0.625</v>
      </c>
      <c r="J4">
        <v>0</v>
      </c>
      <c r="K4">
        <v>0</v>
      </c>
      <c r="L4">
        <v>0.41935483870967749</v>
      </c>
      <c r="M4">
        <v>0.30392156862745096</v>
      </c>
      <c r="N4">
        <v>0.83728813559322035</v>
      </c>
      <c r="O4">
        <v>0.60661764705882359</v>
      </c>
      <c r="P4">
        <v>0.50406504065040647</v>
      </c>
      <c r="Q4">
        <v>0.52375434530706833</v>
      </c>
      <c r="R4">
        <v>0.28888888888888886</v>
      </c>
      <c r="S4">
        <v>0.51999999999999991</v>
      </c>
      <c r="T4">
        <v>0.3342560901952889</v>
      </c>
      <c r="U4">
        <v>0.17469152540515964</v>
      </c>
      <c r="V4">
        <v>0.15714285714285717</v>
      </c>
      <c r="W4">
        <v>1</v>
      </c>
      <c r="X4">
        <v>0.18729096989966548</v>
      </c>
      <c r="Y4">
        <v>0.53488372093023262</v>
      </c>
      <c r="Z4">
        <v>0.11413976497618805</v>
      </c>
    </row>
    <row r="5" spans="1:26" x14ac:dyDescent="0.2">
      <c r="A5">
        <v>0.86563133018230931</v>
      </c>
      <c r="B5">
        <v>0.7592592592592593</v>
      </c>
      <c r="C5">
        <v>0</v>
      </c>
      <c r="D5">
        <v>0.62135922330097071</v>
      </c>
      <c r="E5">
        <v>0.52500000000000002</v>
      </c>
      <c r="F5">
        <v>0.59375000000000011</v>
      </c>
      <c r="G5">
        <v>0.24175824175824173</v>
      </c>
      <c r="H5">
        <v>0.34545454545454546</v>
      </c>
      <c r="I5">
        <v>0.3125</v>
      </c>
      <c r="J5">
        <v>0</v>
      </c>
      <c r="K5">
        <v>0.66666666666666674</v>
      </c>
      <c r="L5">
        <v>0.19354838709677422</v>
      </c>
      <c r="M5">
        <v>0.35294117647058826</v>
      </c>
      <c r="N5">
        <v>0.70508474576271196</v>
      </c>
      <c r="O5">
        <v>0.78308823529411775</v>
      </c>
      <c r="P5">
        <v>0.87804878048780488</v>
      </c>
      <c r="Q5">
        <v>0.24333719582850513</v>
      </c>
      <c r="R5">
        <v>0.37777777777777782</v>
      </c>
      <c r="S5">
        <v>0.55999999999999994</v>
      </c>
      <c r="T5">
        <v>0.6524562109925508</v>
      </c>
      <c r="U5">
        <v>0.17526287102543661</v>
      </c>
      <c r="V5">
        <v>0.4</v>
      </c>
      <c r="W5">
        <v>0.71794871794871795</v>
      </c>
      <c r="X5">
        <v>1</v>
      </c>
      <c r="Y5">
        <v>0</v>
      </c>
      <c r="Z5">
        <v>0.28347359356672491</v>
      </c>
    </row>
    <row r="6" spans="1:26" x14ac:dyDescent="0.2">
      <c r="A6">
        <v>0.86698176907494939</v>
      </c>
      <c r="B6">
        <v>0.66225749559082892</v>
      </c>
      <c r="C6">
        <v>0.2</v>
      </c>
      <c r="D6">
        <v>0.63106796116504849</v>
      </c>
      <c r="E6">
        <v>0.375</v>
      </c>
      <c r="F6">
        <v>0.15625000000000003</v>
      </c>
      <c r="G6">
        <v>2.1978021978021976E-2</v>
      </c>
      <c r="H6">
        <v>0.30909090909090908</v>
      </c>
      <c r="I6">
        <v>0.1875</v>
      </c>
      <c r="J6">
        <v>0</v>
      </c>
      <c r="K6">
        <v>0</v>
      </c>
      <c r="L6">
        <v>0.58064516129032251</v>
      </c>
      <c r="M6">
        <v>0.84313725490196068</v>
      </c>
      <c r="N6">
        <v>0.69830508474576281</v>
      </c>
      <c r="O6">
        <v>0.68014705882352955</v>
      </c>
      <c r="P6">
        <v>0.3983739837398374</v>
      </c>
      <c r="Q6">
        <v>0.51332560834298957</v>
      </c>
      <c r="R6">
        <v>0.44444444444444448</v>
      </c>
      <c r="S6">
        <v>0.92</v>
      </c>
      <c r="T6">
        <v>0.11571371048922896</v>
      </c>
      <c r="U6">
        <v>0.10192685351804845</v>
      </c>
      <c r="V6">
        <v>7.1428571428571438E-2</v>
      </c>
      <c r="W6">
        <v>0.58974358974358976</v>
      </c>
      <c r="X6">
        <v>0.52173913043478226</v>
      </c>
      <c r="Y6">
        <v>0.20930232558139536</v>
      </c>
      <c r="Z6">
        <v>7.9032289760256669E-2</v>
      </c>
    </row>
    <row r="7" spans="1:26" x14ac:dyDescent="0.2">
      <c r="A7">
        <v>0.84199864956110748</v>
      </c>
      <c r="B7">
        <v>1</v>
      </c>
      <c r="C7">
        <v>1</v>
      </c>
      <c r="D7">
        <v>0.84466019417475735</v>
      </c>
      <c r="E7">
        <v>0.3125</v>
      </c>
      <c r="F7">
        <v>0.796875</v>
      </c>
      <c r="G7">
        <v>7.6923076923076927E-2</v>
      </c>
      <c r="H7">
        <v>0.58181818181818179</v>
      </c>
      <c r="I7">
        <v>0</v>
      </c>
      <c r="J7">
        <v>0</v>
      </c>
      <c r="K7">
        <v>0</v>
      </c>
      <c r="L7">
        <v>1.6129032258064536E-2</v>
      </c>
      <c r="M7">
        <v>0.31372549019607843</v>
      </c>
      <c r="N7">
        <v>0.56271186440677967</v>
      </c>
      <c r="O7">
        <v>0.75000000000000011</v>
      </c>
      <c r="P7">
        <v>0.50813008130081294</v>
      </c>
      <c r="Q7">
        <v>0.23174971031286209</v>
      </c>
      <c r="R7">
        <v>0.35555555555555557</v>
      </c>
      <c r="S7">
        <v>0.32</v>
      </c>
      <c r="T7">
        <v>0.33576605596939801</v>
      </c>
      <c r="U7">
        <v>0.12310772576505814</v>
      </c>
      <c r="V7">
        <v>0.2</v>
      </c>
      <c r="W7">
        <v>0.33333333333333337</v>
      </c>
      <c r="X7">
        <v>0.63879598662207371</v>
      </c>
      <c r="Y7">
        <v>0.186046511627907</v>
      </c>
      <c r="Z7">
        <v>0.15390300153570541</v>
      </c>
    </row>
    <row r="8" spans="1:26" x14ac:dyDescent="0.2">
      <c r="A8">
        <v>1</v>
      </c>
      <c r="B8">
        <v>0.59171075837742515</v>
      </c>
      <c r="C8">
        <v>0</v>
      </c>
      <c r="D8">
        <v>0.52427184466019405</v>
      </c>
      <c r="E8">
        <v>0.76249999999999996</v>
      </c>
      <c r="F8">
        <v>0.28125</v>
      </c>
      <c r="G8">
        <v>0.2857142857142857</v>
      </c>
      <c r="H8">
        <v>0.30909090909090908</v>
      </c>
      <c r="I8">
        <v>0.625</v>
      </c>
      <c r="J8">
        <v>0</v>
      </c>
      <c r="K8">
        <v>0</v>
      </c>
      <c r="L8">
        <v>0.83870967741935498</v>
      </c>
      <c r="M8">
        <v>0.50980392156862742</v>
      </c>
      <c r="N8">
        <v>0.64067796610169503</v>
      </c>
      <c r="O8">
        <v>0.78308823529411775</v>
      </c>
      <c r="P8">
        <v>0.59756097560975607</v>
      </c>
      <c r="Q8">
        <v>0.54577056778679023</v>
      </c>
      <c r="R8">
        <v>0.62222222222222223</v>
      </c>
      <c r="S8">
        <v>0.84</v>
      </c>
      <c r="T8">
        <v>0.29585262734044693</v>
      </c>
      <c r="U8">
        <v>3.8613213257628613E-2</v>
      </c>
      <c r="V8">
        <v>0.25714285714285717</v>
      </c>
      <c r="W8">
        <v>0.28205128205128205</v>
      </c>
      <c r="X8">
        <v>0.25083612040133746</v>
      </c>
      <c r="Y8">
        <v>0.23255813953488375</v>
      </c>
      <c r="Z8">
        <v>5.0085193474073593E-2</v>
      </c>
    </row>
    <row r="9" spans="1:26" x14ac:dyDescent="0.2">
      <c r="A9">
        <v>0.82849426063470633</v>
      </c>
      <c r="B9">
        <v>0.77248677248677255</v>
      </c>
      <c r="C9">
        <v>0</v>
      </c>
      <c r="D9">
        <v>0.57281553398058249</v>
      </c>
      <c r="E9">
        <v>0.3</v>
      </c>
      <c r="F9">
        <v>0.671875</v>
      </c>
      <c r="G9">
        <v>0.37362637362637358</v>
      </c>
      <c r="H9">
        <v>0.18181818181818182</v>
      </c>
      <c r="I9">
        <v>1</v>
      </c>
      <c r="J9">
        <v>0</v>
      </c>
      <c r="K9">
        <v>0</v>
      </c>
      <c r="L9">
        <v>0.41935483870967749</v>
      </c>
      <c r="M9">
        <v>0.39215686274509803</v>
      </c>
      <c r="N9">
        <v>0.59661016949152557</v>
      </c>
      <c r="O9">
        <v>0.62132352941176483</v>
      </c>
      <c r="P9">
        <v>0.75203252032520307</v>
      </c>
      <c r="Q9">
        <v>0.60139049826187707</v>
      </c>
      <c r="R9">
        <v>0.15555555555555556</v>
      </c>
      <c r="S9">
        <v>0.4</v>
      </c>
      <c r="T9">
        <v>0.32081739480571769</v>
      </c>
      <c r="U9">
        <v>0.20812756948039315</v>
      </c>
      <c r="V9">
        <v>0.2</v>
      </c>
      <c r="W9">
        <v>0.51282051282051289</v>
      </c>
      <c r="X9">
        <v>5.3511705685618874E-2</v>
      </c>
      <c r="Y9">
        <v>0</v>
      </c>
      <c r="Z9">
        <v>6.4880733968598434E-2</v>
      </c>
    </row>
    <row r="10" spans="1:26" x14ac:dyDescent="0.2">
      <c r="A10">
        <v>0.93315327481431476</v>
      </c>
      <c r="B10">
        <v>0.64373897707231031</v>
      </c>
      <c r="C10">
        <v>0.24444444444444446</v>
      </c>
      <c r="D10">
        <v>0.53398058252427172</v>
      </c>
      <c r="E10">
        <v>0.11249999999999999</v>
      </c>
      <c r="F10">
        <v>0.32812500000000006</v>
      </c>
      <c r="G10">
        <v>0.17582417582417581</v>
      </c>
      <c r="H10">
        <v>0.5636363636363636</v>
      </c>
      <c r="I10">
        <v>0.25</v>
      </c>
      <c r="J10">
        <v>0</v>
      </c>
      <c r="K10">
        <v>0</v>
      </c>
      <c r="L10">
        <v>0.467741935483871</v>
      </c>
      <c r="M10">
        <v>0.56862745098039214</v>
      </c>
      <c r="N10">
        <v>0.6745762711864407</v>
      </c>
      <c r="O10">
        <v>0.58823529411764708</v>
      </c>
      <c r="P10">
        <v>0.52439024390243905</v>
      </c>
      <c r="Q10">
        <v>0.6071842410196987</v>
      </c>
      <c r="R10">
        <v>1</v>
      </c>
      <c r="S10">
        <v>0.72000000000000008</v>
      </c>
      <c r="T10">
        <v>0.33048117576001612</v>
      </c>
      <c r="U10">
        <v>3.7198817867834529E-2</v>
      </c>
      <c r="V10">
        <v>0.14285714285714288</v>
      </c>
      <c r="W10">
        <v>0.25641025641025639</v>
      </c>
      <c r="X10">
        <v>0.32107023411371211</v>
      </c>
      <c r="Y10">
        <v>0.20930232558139536</v>
      </c>
      <c r="Z10">
        <v>9.610883760277894E-2</v>
      </c>
    </row>
    <row r="11" spans="1:26" x14ac:dyDescent="0.2">
      <c r="A11">
        <v>0.75962187711006079</v>
      </c>
      <c r="B11">
        <v>0.64462081128747806</v>
      </c>
      <c r="C11">
        <v>0.15555555555555556</v>
      </c>
      <c r="D11">
        <v>0.57281553398058249</v>
      </c>
      <c r="E11">
        <v>0.3</v>
      </c>
      <c r="F11">
        <v>0.546875</v>
      </c>
      <c r="G11">
        <v>1.0989010989010988E-2</v>
      </c>
      <c r="H11">
        <v>0.58181818181818179</v>
      </c>
      <c r="I11">
        <v>0.625</v>
      </c>
      <c r="J11">
        <v>0</v>
      </c>
      <c r="K11">
        <v>0</v>
      </c>
      <c r="L11">
        <v>0.45161290322580644</v>
      </c>
      <c r="M11">
        <v>1</v>
      </c>
      <c r="N11">
        <v>0.71864406779661016</v>
      </c>
      <c r="O11">
        <v>0.75367647058823528</v>
      </c>
      <c r="P11">
        <v>0.29674796747967475</v>
      </c>
      <c r="Q11">
        <v>0.57242178447276937</v>
      </c>
      <c r="R11">
        <v>0.37777777777777782</v>
      </c>
      <c r="S11">
        <v>0.27999999999999997</v>
      </c>
      <c r="T11">
        <v>0.21542178377290117</v>
      </c>
      <c r="U11">
        <v>1.3786794411440081E-2</v>
      </c>
      <c r="V11">
        <v>0.27142857142857146</v>
      </c>
      <c r="W11">
        <v>0.23076923076923078</v>
      </c>
      <c r="X11">
        <v>8.0267558528427735E-2</v>
      </c>
      <c r="Y11">
        <v>4.651162790697675E-2</v>
      </c>
      <c r="Z11">
        <v>5.7062553497603634E-2</v>
      </c>
    </row>
    <row r="12" spans="1:26" x14ac:dyDescent="0.2">
      <c r="A12">
        <v>0.76299797434166106</v>
      </c>
      <c r="B12">
        <v>0.77689594356261027</v>
      </c>
      <c r="C12">
        <v>0.15555555555555556</v>
      </c>
      <c r="D12">
        <v>0.84466019417475735</v>
      </c>
      <c r="E12">
        <v>0.44999999999999996</v>
      </c>
      <c r="F12">
        <v>0.546875</v>
      </c>
      <c r="G12">
        <v>0.17582417582417581</v>
      </c>
      <c r="H12">
        <v>0.69090909090909092</v>
      </c>
      <c r="I12">
        <v>0.75</v>
      </c>
      <c r="J12">
        <v>0</v>
      </c>
      <c r="K12">
        <v>0</v>
      </c>
      <c r="L12">
        <v>0.66129032258064513</v>
      </c>
      <c r="M12">
        <v>0.55882352941176461</v>
      </c>
      <c r="N12">
        <v>0.61016949152542377</v>
      </c>
      <c r="O12">
        <v>0.8345588235294118</v>
      </c>
      <c r="P12">
        <v>0.68292682926829251</v>
      </c>
      <c r="Q12">
        <v>0.38933951332560834</v>
      </c>
      <c r="R12">
        <v>0.33333333333333331</v>
      </c>
      <c r="S12">
        <v>0.48</v>
      </c>
      <c r="T12">
        <v>0.28925911012683708</v>
      </c>
      <c r="U12">
        <v>0.11151209384748961</v>
      </c>
      <c r="V12">
        <v>0.31428571428571428</v>
      </c>
      <c r="W12">
        <v>0.17948717948717952</v>
      </c>
      <c r="X12">
        <v>0.74916387959866193</v>
      </c>
      <c r="Y12">
        <v>0.23255813953488375</v>
      </c>
      <c r="Z12">
        <v>0.16741524384920514</v>
      </c>
    </row>
    <row r="13" spans="1:26" x14ac:dyDescent="0.2">
      <c r="A13">
        <v>0.79608372721134379</v>
      </c>
      <c r="B13">
        <v>0.6243386243386243</v>
      </c>
      <c r="C13">
        <v>4.4444444444444446E-2</v>
      </c>
      <c r="D13">
        <v>0.58252427184466016</v>
      </c>
      <c r="E13">
        <v>1</v>
      </c>
      <c r="F13">
        <v>0.609375</v>
      </c>
      <c r="G13">
        <v>0</v>
      </c>
      <c r="H13">
        <v>0.23636363636363633</v>
      </c>
      <c r="I13">
        <v>0.5625</v>
      </c>
      <c r="J13">
        <v>0</v>
      </c>
      <c r="K13">
        <v>0</v>
      </c>
      <c r="L13">
        <v>0.20967741935483875</v>
      </c>
      <c r="M13">
        <v>0.56862745098039214</v>
      </c>
      <c r="N13">
        <v>0.58305084745762714</v>
      </c>
      <c r="O13">
        <v>0.5845588235294118</v>
      </c>
      <c r="P13">
        <v>0.34959349593495925</v>
      </c>
      <c r="Q13">
        <v>0.65353418308227107</v>
      </c>
      <c r="R13">
        <v>0.48888888888888893</v>
      </c>
      <c r="S13">
        <v>0.16</v>
      </c>
      <c r="T13">
        <v>0</v>
      </c>
      <c r="U13">
        <v>9.4961147950030647E-2</v>
      </c>
      <c r="V13">
        <v>0.2</v>
      </c>
      <c r="W13">
        <v>0.20512820512820515</v>
      </c>
      <c r="X13">
        <v>0</v>
      </c>
      <c r="Y13">
        <v>0.20930232558139536</v>
      </c>
      <c r="Z13">
        <v>2.2961968821346837E-2</v>
      </c>
    </row>
    <row r="14" spans="1:26" x14ac:dyDescent="0.2">
      <c r="A14">
        <v>0.95881161377447677</v>
      </c>
      <c r="B14">
        <v>0.68165784832451515</v>
      </c>
      <c r="C14">
        <v>6.6666666666666666E-2</v>
      </c>
      <c r="D14">
        <v>0.19417475728155337</v>
      </c>
      <c r="E14">
        <v>0.12499999999999994</v>
      </c>
      <c r="F14">
        <v>0.20312500000000006</v>
      </c>
      <c r="G14">
        <v>0.18681318681318676</v>
      </c>
      <c r="H14">
        <v>0.30909090909090908</v>
      </c>
      <c r="I14">
        <v>0.1875</v>
      </c>
      <c r="J14">
        <v>0</v>
      </c>
      <c r="K14">
        <v>0</v>
      </c>
      <c r="L14">
        <v>0.38709677419354838</v>
      </c>
      <c r="M14">
        <v>0.72549019607843135</v>
      </c>
      <c r="N14">
        <v>0.81355932203389836</v>
      </c>
      <c r="O14">
        <v>0.73161764705882359</v>
      </c>
      <c r="P14">
        <v>0.39430894308943087</v>
      </c>
      <c r="Q14">
        <v>0.5619930475086905</v>
      </c>
      <c r="R14">
        <v>6.6666666666666666E-2</v>
      </c>
      <c r="S14">
        <v>0.68</v>
      </c>
      <c r="T14">
        <v>0.13056170726796856</v>
      </c>
      <c r="U14">
        <v>0</v>
      </c>
      <c r="V14">
        <v>0</v>
      </c>
      <c r="W14">
        <v>0.20512820512820515</v>
      </c>
      <c r="X14">
        <v>0.5852842809364549</v>
      </c>
      <c r="Y14">
        <v>0.20930232558139536</v>
      </c>
      <c r="Z14">
        <v>1.2228783055760519E-2</v>
      </c>
    </row>
    <row r="15" spans="1:26" x14ac:dyDescent="0.2">
      <c r="A15">
        <v>0.74071573261309931</v>
      </c>
      <c r="B15">
        <v>0.67901234567901236</v>
      </c>
      <c r="C15">
        <v>4.4444444444444446E-2</v>
      </c>
      <c r="D15">
        <v>0.66019417475728148</v>
      </c>
      <c r="E15">
        <v>0.18749999999999997</v>
      </c>
      <c r="F15">
        <v>0.32812500000000006</v>
      </c>
      <c r="G15">
        <v>0.18681318681318676</v>
      </c>
      <c r="H15">
        <v>0.27272727272727271</v>
      </c>
      <c r="I15">
        <v>0.81249999999999989</v>
      </c>
      <c r="J15">
        <v>0</v>
      </c>
      <c r="K15">
        <v>0</v>
      </c>
      <c r="L15">
        <v>0.30645161290322576</v>
      </c>
      <c r="M15">
        <v>0.30392156862745096</v>
      </c>
      <c r="N15">
        <v>0.57966101694915262</v>
      </c>
      <c r="O15">
        <v>0.72426470588235303</v>
      </c>
      <c r="P15">
        <v>0.53658536585365857</v>
      </c>
      <c r="Q15">
        <v>0.40208574739281572</v>
      </c>
      <c r="R15">
        <v>0.35555555555555557</v>
      </c>
      <c r="S15">
        <v>0.6</v>
      </c>
      <c r="T15">
        <v>0.17374672840748942</v>
      </c>
      <c r="U15">
        <v>5.2125016776087905E-2</v>
      </c>
      <c r="V15">
        <v>0.17142857142857146</v>
      </c>
      <c r="W15">
        <v>0.15384615384615388</v>
      </c>
      <c r="X15">
        <v>0.30100334448160532</v>
      </c>
      <c r="Y15">
        <v>0.34883720930232553</v>
      </c>
      <c r="Z15">
        <v>9.2065167772673054E-2</v>
      </c>
    </row>
    <row r="16" spans="1:26" x14ac:dyDescent="0.2">
      <c r="A16">
        <v>0.87778528021607027</v>
      </c>
      <c r="B16">
        <v>0.69047619047619058</v>
      </c>
      <c r="C16">
        <v>4.4444444444444446E-2</v>
      </c>
      <c r="D16">
        <v>0.31067961165048541</v>
      </c>
      <c r="E16">
        <v>0.27500000000000002</v>
      </c>
      <c r="F16">
        <v>0.70312500000000011</v>
      </c>
      <c r="G16">
        <v>0.19780219780219779</v>
      </c>
      <c r="H16">
        <v>0.23636363636363633</v>
      </c>
      <c r="I16">
        <v>0.6875</v>
      </c>
      <c r="J16">
        <v>0</v>
      </c>
      <c r="K16">
        <v>0</v>
      </c>
      <c r="L16">
        <v>0.43548387096774205</v>
      </c>
      <c r="M16">
        <v>0.45098039215686275</v>
      </c>
      <c r="N16">
        <v>0.82711864406779678</v>
      </c>
      <c r="O16">
        <v>0.8345588235294118</v>
      </c>
      <c r="P16">
        <v>0.36991869918699183</v>
      </c>
      <c r="Q16">
        <v>0.54808806488991879</v>
      </c>
      <c r="R16">
        <v>0.42222222222222228</v>
      </c>
      <c r="S16">
        <v>1</v>
      </c>
      <c r="T16">
        <v>0.23389369840950278</v>
      </c>
      <c r="U16">
        <v>5.3400821138144608E-2</v>
      </c>
      <c r="V16">
        <v>9.9999999999999992E-2</v>
      </c>
      <c r="W16">
        <v>0.20512820512820515</v>
      </c>
      <c r="X16">
        <v>0.49498327759197347</v>
      </c>
      <c r="Y16">
        <v>0.13953488372093023</v>
      </c>
      <c r="Z16">
        <v>0.12675819260329291</v>
      </c>
    </row>
    <row r="17" spans="1:26" x14ac:dyDescent="0.2">
      <c r="A17">
        <v>0.76569885212694133</v>
      </c>
      <c r="B17">
        <v>0.66843033509700178</v>
      </c>
      <c r="C17">
        <v>4.4444444444444446E-2</v>
      </c>
      <c r="D17">
        <v>0.41747572815533973</v>
      </c>
      <c r="E17">
        <v>0.58750000000000002</v>
      </c>
      <c r="F17">
        <v>0.29687500000000006</v>
      </c>
      <c r="G17">
        <v>4.3956043956043939E-2</v>
      </c>
      <c r="H17">
        <v>0.23636363636363633</v>
      </c>
      <c r="I17">
        <v>0.43749999999999994</v>
      </c>
      <c r="J17">
        <v>0</v>
      </c>
      <c r="K17">
        <v>0</v>
      </c>
      <c r="L17">
        <v>0.79032258064516125</v>
      </c>
      <c r="M17">
        <v>0.30392156862745096</v>
      </c>
      <c r="N17">
        <v>0.66440677966101691</v>
      </c>
      <c r="O17">
        <v>0.83088235294117652</v>
      </c>
      <c r="P17">
        <v>0.49593495934959342</v>
      </c>
      <c r="Q17">
        <v>0.47624565469293162</v>
      </c>
      <c r="R17">
        <v>0.64444444444444449</v>
      </c>
      <c r="S17">
        <v>0.2</v>
      </c>
      <c r="T17">
        <v>0.25568753774914443</v>
      </c>
      <c r="U17">
        <v>0.21924169343993336</v>
      </c>
      <c r="V17">
        <v>0.2</v>
      </c>
      <c r="W17">
        <v>0.48717948717948723</v>
      </c>
      <c r="X17">
        <v>0.20401337792642124</v>
      </c>
      <c r="Y17">
        <v>0.30232558139534882</v>
      </c>
      <c r="Z17">
        <v>0.11394921122343882</v>
      </c>
    </row>
    <row r="18" spans="1:26" x14ac:dyDescent="0.2">
      <c r="A18">
        <v>0.77042538825118168</v>
      </c>
      <c r="B18">
        <v>0.58201058201058209</v>
      </c>
      <c r="C18">
        <v>0</v>
      </c>
      <c r="D18">
        <v>0.44660194174757273</v>
      </c>
      <c r="E18">
        <v>0</v>
      </c>
      <c r="F18">
        <v>0.65625</v>
      </c>
      <c r="G18">
        <v>0.23076923076923073</v>
      </c>
      <c r="H18">
        <v>0.36363636363636365</v>
      </c>
      <c r="I18">
        <v>0.43749999999999994</v>
      </c>
      <c r="J18">
        <v>0</v>
      </c>
      <c r="K18">
        <v>1</v>
      </c>
      <c r="L18">
        <v>0.37096774193548382</v>
      </c>
      <c r="M18">
        <v>0.42156862745098034</v>
      </c>
      <c r="N18">
        <v>0.6271186440677966</v>
      </c>
      <c r="O18">
        <v>0.5845588235294118</v>
      </c>
      <c r="P18">
        <v>0.6097560975609756</v>
      </c>
      <c r="Q18">
        <v>0.35805330243337191</v>
      </c>
      <c r="R18">
        <v>0.35555555555555557</v>
      </c>
      <c r="S18">
        <v>0.27999999999999997</v>
      </c>
      <c r="T18">
        <v>0.1912119991946849</v>
      </c>
      <c r="U18">
        <v>0.12936130352256758</v>
      </c>
      <c r="V18">
        <v>0.24285714285714288</v>
      </c>
      <c r="W18">
        <v>0</v>
      </c>
      <c r="X18">
        <v>0.25752508361204013</v>
      </c>
      <c r="Y18">
        <v>0.372093023255814</v>
      </c>
      <c r="Z18">
        <v>0.14085111647102824</v>
      </c>
    </row>
    <row r="19" spans="1:26" x14ac:dyDescent="0.2">
      <c r="A19">
        <v>0.73058744091829853</v>
      </c>
      <c r="B19">
        <v>0.76455026455026465</v>
      </c>
      <c r="C19">
        <v>0.13333333333333333</v>
      </c>
      <c r="D19">
        <v>0.5145631067961165</v>
      </c>
      <c r="E19">
        <v>0.3874999999999999</v>
      </c>
      <c r="F19">
        <v>0.70312500000000011</v>
      </c>
      <c r="G19">
        <v>0.31868131868131866</v>
      </c>
      <c r="H19">
        <v>0.27272727272727271</v>
      </c>
      <c r="I19">
        <v>0.5</v>
      </c>
      <c r="J19">
        <v>0</v>
      </c>
      <c r="K19">
        <v>0</v>
      </c>
      <c r="L19">
        <v>0.33870967741935482</v>
      </c>
      <c r="M19">
        <v>0.5</v>
      </c>
      <c r="N19">
        <v>0.62372881355932208</v>
      </c>
      <c r="O19">
        <v>0.97058823529411775</v>
      </c>
      <c r="P19">
        <v>0.65040650406504064</v>
      </c>
      <c r="Q19">
        <v>0.37543453070683658</v>
      </c>
      <c r="R19">
        <v>0.37777777777777782</v>
      </c>
      <c r="S19">
        <v>0.92</v>
      </c>
      <c r="T19">
        <v>0.58279645661364998</v>
      </c>
      <c r="U19">
        <v>3.8241811214917432E-2</v>
      </c>
      <c r="V19">
        <v>7.1428571428571438E-2</v>
      </c>
      <c r="W19">
        <v>0.20512820512820515</v>
      </c>
      <c r="X19">
        <v>0.62876254180602009</v>
      </c>
      <c r="Y19">
        <v>0.30232558139534882</v>
      </c>
      <c r="Z19">
        <v>0.23674185620295152</v>
      </c>
    </row>
    <row r="20" spans="1:26" x14ac:dyDescent="0.2">
      <c r="A20">
        <v>0.75354490209318037</v>
      </c>
      <c r="B20">
        <v>0.58730158730158721</v>
      </c>
      <c r="C20">
        <v>0</v>
      </c>
      <c r="D20">
        <v>0.62135922330097071</v>
      </c>
      <c r="E20">
        <v>0.72499999999999998</v>
      </c>
      <c r="F20">
        <v>0.68750000000000011</v>
      </c>
      <c r="G20">
        <v>6.5934065934065908E-2</v>
      </c>
      <c r="H20">
        <v>0.6</v>
      </c>
      <c r="I20">
        <v>0.81249999999999989</v>
      </c>
      <c r="J20">
        <v>0</v>
      </c>
      <c r="K20">
        <v>0</v>
      </c>
      <c r="L20">
        <v>1</v>
      </c>
      <c r="M20">
        <v>0.25490196078431371</v>
      </c>
      <c r="N20">
        <v>0.56949152542372883</v>
      </c>
      <c r="O20">
        <v>0.63602941176470584</v>
      </c>
      <c r="P20">
        <v>0.80894308943089432</v>
      </c>
      <c r="Q20">
        <v>0.50521436848203927</v>
      </c>
      <c r="R20">
        <v>0.22222222222222224</v>
      </c>
      <c r="S20">
        <v>0.32</v>
      </c>
      <c r="T20">
        <v>0.53180994564123218</v>
      </c>
      <c r="U20">
        <v>4.4585774425299145E-2</v>
      </c>
      <c r="V20">
        <v>0.12857142857142856</v>
      </c>
      <c r="W20">
        <v>0.64102564102564086</v>
      </c>
      <c r="X20">
        <v>0.32441471571906372</v>
      </c>
      <c r="Y20">
        <v>0.11627906976744187</v>
      </c>
      <c r="Z20">
        <v>0.15123992022192498</v>
      </c>
    </row>
    <row r="21" spans="1:26" x14ac:dyDescent="0.2">
      <c r="A21">
        <v>4.5239702903443625E-2</v>
      </c>
      <c r="B21">
        <v>3.9682539682539673E-2</v>
      </c>
      <c r="C21">
        <v>0</v>
      </c>
      <c r="D21">
        <v>0.19417475728155337</v>
      </c>
      <c r="E21">
        <v>0.33749999999999991</v>
      </c>
      <c r="F21">
        <v>0.40625000000000011</v>
      </c>
      <c r="G21">
        <v>0.5494505494505495</v>
      </c>
      <c r="H21">
        <v>0.18181818181818182</v>
      </c>
      <c r="I21">
        <v>0</v>
      </c>
      <c r="J21">
        <v>0.6</v>
      </c>
      <c r="K21">
        <v>0</v>
      </c>
      <c r="L21">
        <v>0</v>
      </c>
      <c r="M21">
        <v>6.8627450980392149E-2</v>
      </c>
      <c r="N21">
        <v>8.1355932203389825E-2</v>
      </c>
      <c r="O21">
        <v>5.5147058823529424E-2</v>
      </c>
      <c r="P21">
        <v>0</v>
      </c>
      <c r="Q21">
        <v>0.13673232908458863</v>
      </c>
      <c r="R21">
        <v>0</v>
      </c>
      <c r="S21">
        <v>0</v>
      </c>
      <c r="T21">
        <v>0.2395812361586471</v>
      </c>
      <c r="U21">
        <v>0.88560926642618654</v>
      </c>
      <c r="V21">
        <v>0.2857142857142857</v>
      </c>
      <c r="W21">
        <v>0.76923076923076916</v>
      </c>
      <c r="X21">
        <v>0.54849498327759172</v>
      </c>
      <c r="Y21">
        <v>0.60465116279069764</v>
      </c>
      <c r="Z21">
        <v>0.862123970437913</v>
      </c>
    </row>
    <row r="22" spans="1:26" x14ac:dyDescent="0.2">
      <c r="A22">
        <v>4.2538825118163405E-2</v>
      </c>
      <c r="B22">
        <v>7.1428571428571425E-2</v>
      </c>
      <c r="C22">
        <v>4.4444444444444446E-2</v>
      </c>
      <c r="D22">
        <v>0.10679611650485438</v>
      </c>
      <c r="E22">
        <v>9.9999999999999992E-2</v>
      </c>
      <c r="F22">
        <v>6.2499999999999979E-2</v>
      </c>
      <c r="G22">
        <v>0.67032967032967028</v>
      </c>
      <c r="H22">
        <v>0.12727272727272726</v>
      </c>
      <c r="I22">
        <v>0.125</v>
      </c>
      <c r="J22">
        <v>1</v>
      </c>
      <c r="K22">
        <v>0</v>
      </c>
      <c r="L22">
        <v>0.16129032258064518</v>
      </c>
      <c r="M22">
        <v>4.9019607843137254E-2</v>
      </c>
      <c r="N22">
        <v>4.4067796610169498E-2</v>
      </c>
      <c r="O22">
        <v>9.1911764705882346E-2</v>
      </c>
      <c r="P22">
        <v>0.10162601626016259</v>
      </c>
      <c r="Q22">
        <v>0.20046349942062572</v>
      </c>
      <c r="R22">
        <v>0</v>
      </c>
      <c r="S22">
        <v>0.2</v>
      </c>
      <c r="T22">
        <v>0.43079323535333197</v>
      </c>
      <c r="U22">
        <v>1</v>
      </c>
      <c r="V22">
        <v>0.6428571428571429</v>
      </c>
      <c r="W22">
        <v>0.48717948717948723</v>
      </c>
      <c r="X22">
        <v>0.94314381270903014</v>
      </c>
      <c r="Y22">
        <v>0.67441860465116277</v>
      </c>
      <c r="Z22">
        <v>0.92990134695569848</v>
      </c>
    </row>
    <row r="23" spans="1:26" x14ac:dyDescent="0.2">
      <c r="A23">
        <v>0.15259959486833224</v>
      </c>
      <c r="B23">
        <v>0.14726631393298062</v>
      </c>
      <c r="C23">
        <v>4.4444444444444446E-2</v>
      </c>
      <c r="D23">
        <v>4.8543689320388314E-2</v>
      </c>
      <c r="E23">
        <v>0.12499999999999994</v>
      </c>
      <c r="F23">
        <v>0.12500000000000003</v>
      </c>
      <c r="G23">
        <v>0.80219780219780212</v>
      </c>
      <c r="H23">
        <v>9.0909090909090912E-2</v>
      </c>
      <c r="I23">
        <v>0</v>
      </c>
      <c r="J23">
        <v>0.6</v>
      </c>
      <c r="K23">
        <v>0</v>
      </c>
      <c r="L23">
        <v>0.45161290322580644</v>
      </c>
      <c r="M23">
        <v>4.9019607843137254E-2</v>
      </c>
      <c r="N23">
        <v>7.7966101694915274E-2</v>
      </c>
      <c r="O23">
        <v>0.25367647058823528</v>
      </c>
      <c r="P23">
        <v>0.3902439024390244</v>
      </c>
      <c r="Q23">
        <v>0.25724217844727687</v>
      </c>
      <c r="R23">
        <v>4.4444444444444446E-2</v>
      </c>
      <c r="S23">
        <v>0.27999999999999997</v>
      </c>
      <c r="T23">
        <v>0.50553654117173341</v>
      </c>
      <c r="U23">
        <v>0.5970178278458409</v>
      </c>
      <c r="V23">
        <v>1</v>
      </c>
      <c r="W23">
        <v>0.71794871794871795</v>
      </c>
      <c r="X23">
        <v>0.43478260869565194</v>
      </c>
      <c r="Y23">
        <v>1</v>
      </c>
      <c r="Z23">
        <v>0.82820330845127632</v>
      </c>
    </row>
    <row r="24" spans="1:26" x14ac:dyDescent="0.2">
      <c r="A24">
        <v>5.9419311276164767E-2</v>
      </c>
      <c r="B24">
        <v>7.6719576719576729E-2</v>
      </c>
      <c r="C24">
        <v>0</v>
      </c>
      <c r="D24">
        <v>0</v>
      </c>
      <c r="E24">
        <v>0.375</v>
      </c>
      <c r="F24">
        <v>0</v>
      </c>
      <c r="G24">
        <v>0.69230769230769229</v>
      </c>
      <c r="H24">
        <v>5.4545454545454543E-2</v>
      </c>
      <c r="I24">
        <v>0.1875</v>
      </c>
      <c r="J24">
        <v>0</v>
      </c>
      <c r="K24">
        <v>0</v>
      </c>
      <c r="L24">
        <v>0.30645161290322576</v>
      </c>
      <c r="M24">
        <v>6.8627450980392149E-2</v>
      </c>
      <c r="N24">
        <v>9.1525423728813587E-2</v>
      </c>
      <c r="O24">
        <v>0.2904411764705882</v>
      </c>
      <c r="P24">
        <v>0.30894308943089427</v>
      </c>
      <c r="Q24">
        <v>7.4159907300115832E-2</v>
      </c>
      <c r="R24">
        <v>0</v>
      </c>
      <c r="S24">
        <v>0.12</v>
      </c>
      <c r="T24">
        <v>0.69498691362995779</v>
      </c>
      <c r="U24">
        <v>0.54715792529779284</v>
      </c>
      <c r="V24">
        <v>0.7</v>
      </c>
      <c r="W24">
        <v>0.66666666666666663</v>
      </c>
      <c r="X24">
        <v>0.65217391304347849</v>
      </c>
      <c r="Y24">
        <v>0.30232558139534882</v>
      </c>
      <c r="Z24">
        <v>0.86013853886024061</v>
      </c>
    </row>
    <row r="25" spans="1:26" x14ac:dyDescent="0.2">
      <c r="A25">
        <v>9.3855503038487498E-2</v>
      </c>
      <c r="B25">
        <v>2.2045855379188732E-2</v>
      </c>
      <c r="C25">
        <v>0</v>
      </c>
      <c r="D25">
        <v>0.32038834951456302</v>
      </c>
      <c r="E25">
        <v>2.4999999999999998E-2</v>
      </c>
      <c r="F25">
        <v>6.2499999999999979E-2</v>
      </c>
      <c r="G25">
        <v>0.51648351648351642</v>
      </c>
      <c r="H25">
        <v>0.58181818181818179</v>
      </c>
      <c r="I25">
        <v>0</v>
      </c>
      <c r="J25">
        <v>0.8</v>
      </c>
      <c r="K25">
        <v>0</v>
      </c>
      <c r="L25">
        <v>0</v>
      </c>
      <c r="M25">
        <v>3.9215686274509803E-2</v>
      </c>
      <c r="N25">
        <v>2.7118644067796609E-2</v>
      </c>
      <c r="O25">
        <v>0</v>
      </c>
      <c r="P25">
        <v>6.0975609756097532E-2</v>
      </c>
      <c r="Q25">
        <v>0</v>
      </c>
      <c r="R25">
        <v>0</v>
      </c>
      <c r="S25">
        <v>0.72000000000000008</v>
      </c>
      <c r="T25">
        <v>0.94015502315280852</v>
      </c>
      <c r="U25">
        <v>0.82335121869718986</v>
      </c>
      <c r="V25">
        <v>0.17142857142857146</v>
      </c>
      <c r="W25">
        <v>1</v>
      </c>
      <c r="X25">
        <v>0.61872909698996637</v>
      </c>
      <c r="Y25">
        <v>0.2558139534883721</v>
      </c>
      <c r="Z25">
        <v>0.96809038078857357</v>
      </c>
    </row>
    <row r="26" spans="1:26" x14ac:dyDescent="0.2">
      <c r="A26">
        <v>1.6205266711681283E-2</v>
      </c>
      <c r="B26">
        <v>0</v>
      </c>
      <c r="C26">
        <v>0</v>
      </c>
      <c r="D26">
        <v>0.10679611650485438</v>
      </c>
      <c r="E26">
        <v>0.14999999999999994</v>
      </c>
      <c r="F26">
        <v>3.125E-2</v>
      </c>
      <c r="G26">
        <v>1</v>
      </c>
      <c r="H26">
        <v>0.10909090909090909</v>
      </c>
      <c r="I26">
        <v>0</v>
      </c>
      <c r="J26">
        <v>0</v>
      </c>
      <c r="K26">
        <v>0</v>
      </c>
      <c r="L26">
        <v>0.38709677419354838</v>
      </c>
      <c r="M26">
        <v>8.8235294117647065E-2</v>
      </c>
      <c r="N26">
        <v>2.7118644067796609E-2</v>
      </c>
      <c r="O26">
        <v>3.3088235294117654E-2</v>
      </c>
      <c r="P26">
        <v>0.2113821138211382</v>
      </c>
      <c r="Q26">
        <v>0.10428736964078794</v>
      </c>
      <c r="R26">
        <v>6.6666666666666666E-2</v>
      </c>
      <c r="S26">
        <v>0.12</v>
      </c>
      <c r="T26">
        <v>0.47901147573988329</v>
      </c>
      <c r="U26">
        <v>0.59913394302429746</v>
      </c>
      <c r="V26">
        <v>0.48571428571428577</v>
      </c>
      <c r="W26">
        <v>0.15384615384615388</v>
      </c>
      <c r="X26">
        <v>0.78260869565217406</v>
      </c>
      <c r="Y26">
        <v>0.372093023255814</v>
      </c>
      <c r="Z26">
        <v>0.90164446438932122</v>
      </c>
    </row>
    <row r="27" spans="1:26" x14ac:dyDescent="0.2">
      <c r="A27">
        <v>6.1444969615124904E-2</v>
      </c>
      <c r="B27">
        <v>4.2328042328042326E-2</v>
      </c>
      <c r="C27">
        <v>6.6666666666666666E-2</v>
      </c>
      <c r="D27">
        <v>0.34951456310679613</v>
      </c>
      <c r="E27">
        <v>0.25</v>
      </c>
      <c r="F27">
        <v>0.20312500000000006</v>
      </c>
      <c r="G27">
        <v>0.62637362637362637</v>
      </c>
      <c r="H27">
        <v>0.23636363636363633</v>
      </c>
      <c r="I27">
        <v>0</v>
      </c>
      <c r="J27">
        <v>0</v>
      </c>
      <c r="K27">
        <v>0</v>
      </c>
      <c r="L27">
        <v>0.25806451612903231</v>
      </c>
      <c r="M27">
        <v>2.9411764705882353E-2</v>
      </c>
      <c r="N27">
        <v>2.0338983050847474E-2</v>
      </c>
      <c r="O27">
        <v>0.11397058823529413</v>
      </c>
      <c r="P27">
        <v>0.2886178861788618</v>
      </c>
      <c r="Q27">
        <v>9.7334878331402058E-2</v>
      </c>
      <c r="R27">
        <v>6.6666666666666666E-2</v>
      </c>
      <c r="S27">
        <v>0.2</v>
      </c>
      <c r="T27">
        <v>0.43139722166297567</v>
      </c>
      <c r="U27">
        <v>0.67769971761393355</v>
      </c>
      <c r="V27">
        <v>0.6428571428571429</v>
      </c>
      <c r="W27">
        <v>0.64102564102564086</v>
      </c>
      <c r="X27">
        <v>0.78595317725752512</v>
      </c>
      <c r="Y27">
        <v>1</v>
      </c>
      <c r="Z27">
        <v>0.91779095528478205</v>
      </c>
    </row>
    <row r="28" spans="1:26" x14ac:dyDescent="0.2">
      <c r="A28">
        <v>0.16948008102633355</v>
      </c>
      <c r="B28">
        <v>0.23633156966490301</v>
      </c>
      <c r="C28">
        <v>0.11111111111111112</v>
      </c>
      <c r="D28">
        <v>0.40776699029126207</v>
      </c>
      <c r="E28">
        <v>0.43750000000000006</v>
      </c>
      <c r="F28">
        <v>0.20312500000000006</v>
      </c>
      <c r="G28">
        <v>0.7142857142857143</v>
      </c>
      <c r="H28">
        <v>0</v>
      </c>
      <c r="I28">
        <v>0</v>
      </c>
      <c r="J28">
        <v>0</v>
      </c>
      <c r="K28">
        <v>0</v>
      </c>
      <c r="L28">
        <v>0.40322580645161293</v>
      </c>
      <c r="M28">
        <v>8.8235294117647065E-2</v>
      </c>
      <c r="N28">
        <v>0.24067796610169492</v>
      </c>
      <c r="O28">
        <v>0.34926470588235292</v>
      </c>
      <c r="P28">
        <v>0.31300813008130079</v>
      </c>
      <c r="Q28">
        <v>0.31402085747392811</v>
      </c>
      <c r="R28">
        <v>0.11111111111111112</v>
      </c>
      <c r="S28">
        <v>0.36000000000000004</v>
      </c>
      <c r="T28">
        <v>1</v>
      </c>
      <c r="U28">
        <v>0.52950537245653972</v>
      </c>
      <c r="V28">
        <v>0.18571428571428575</v>
      </c>
      <c r="W28">
        <v>0.28205128205128205</v>
      </c>
      <c r="X28">
        <v>0.98327759197324427</v>
      </c>
      <c r="Y28">
        <v>0</v>
      </c>
      <c r="Z28">
        <v>1</v>
      </c>
    </row>
    <row r="29" spans="1:26" x14ac:dyDescent="0.2">
      <c r="A29">
        <v>0</v>
      </c>
      <c r="B29">
        <v>0.12874779541446207</v>
      </c>
      <c r="C29">
        <v>6.6666666666666666E-2</v>
      </c>
      <c r="D29">
        <v>0.34951456310679613</v>
      </c>
      <c r="E29">
        <v>6.2499999999999993E-2</v>
      </c>
      <c r="F29">
        <v>3.125E-2</v>
      </c>
      <c r="G29">
        <v>0.81318681318681318</v>
      </c>
      <c r="H29">
        <v>0.10909090909090909</v>
      </c>
      <c r="I29">
        <v>0</v>
      </c>
      <c r="J29">
        <v>0.6</v>
      </c>
      <c r="K29">
        <v>0</v>
      </c>
      <c r="L29">
        <v>0.27419354838709681</v>
      </c>
      <c r="M29">
        <v>8.8235294117647065E-2</v>
      </c>
      <c r="N29">
        <v>0</v>
      </c>
      <c r="O29">
        <v>0.20955882352941177</v>
      </c>
      <c r="P29">
        <v>0.2642276422764227</v>
      </c>
      <c r="Q29">
        <v>0.14831981460023175</v>
      </c>
      <c r="R29">
        <v>0.2</v>
      </c>
      <c r="S29">
        <v>0.36000000000000004</v>
      </c>
      <c r="T29">
        <v>0.45892893094423198</v>
      </c>
      <c r="U29">
        <v>0.69522901756490629</v>
      </c>
      <c r="V29">
        <v>0.84285714285714275</v>
      </c>
      <c r="W29">
        <v>0.84615384615384615</v>
      </c>
      <c r="X29">
        <v>0.9264214046822743</v>
      </c>
      <c r="Y29">
        <v>0.34883720930232553</v>
      </c>
      <c r="Z29">
        <v>0.97921546619950139</v>
      </c>
    </row>
    <row r="30" spans="1:26" x14ac:dyDescent="0.2">
      <c r="A30">
        <v>3.1060094530722483E-2</v>
      </c>
      <c r="B30">
        <v>0.16490299823633159</v>
      </c>
      <c r="C30">
        <v>6.6666666666666666E-2</v>
      </c>
      <c r="D30">
        <v>9.7087378640776684E-2</v>
      </c>
      <c r="E30">
        <v>9.9999999999999992E-2</v>
      </c>
      <c r="F30">
        <v>0.21875</v>
      </c>
      <c r="G30">
        <v>0.35164835164835162</v>
      </c>
      <c r="H30">
        <v>0.25454545454545452</v>
      </c>
      <c r="I30">
        <v>0</v>
      </c>
      <c r="J30">
        <v>0</v>
      </c>
      <c r="K30">
        <v>0</v>
      </c>
      <c r="L30">
        <v>0.37096774193548382</v>
      </c>
      <c r="M30">
        <v>0</v>
      </c>
      <c r="N30">
        <v>6.1016949152542389E-2</v>
      </c>
      <c r="O30">
        <v>0.15073529411764708</v>
      </c>
      <c r="P30">
        <v>0.22357723577235775</v>
      </c>
      <c r="Q30">
        <v>0.19235225955967553</v>
      </c>
      <c r="R30">
        <v>6.6666666666666666E-2</v>
      </c>
      <c r="S30">
        <v>0</v>
      </c>
      <c r="T30">
        <v>0.64963760821421379</v>
      </c>
      <c r="U30">
        <v>0.6719479160675208</v>
      </c>
      <c r="V30">
        <v>0.45714285714285718</v>
      </c>
      <c r="W30">
        <v>0.82051282051282048</v>
      </c>
      <c r="X30">
        <v>0.99331103678929789</v>
      </c>
      <c r="Y30">
        <v>0.88372093023255816</v>
      </c>
      <c r="Z30">
        <v>0.86996679564616086</v>
      </c>
    </row>
    <row r="31" spans="1:26" x14ac:dyDescent="0.2">
      <c r="A31">
        <v>0.63268062120189061</v>
      </c>
      <c r="B31">
        <v>0.90211640211640209</v>
      </c>
      <c r="C31">
        <v>0.11111111111111112</v>
      </c>
      <c r="D31">
        <v>0.49514563106796117</v>
      </c>
      <c r="E31">
        <v>0.3874999999999999</v>
      </c>
      <c r="F31">
        <v>0.46875000000000011</v>
      </c>
      <c r="G31">
        <v>0.96703296703296704</v>
      </c>
      <c r="H31">
        <v>0.45454545454545453</v>
      </c>
      <c r="I31">
        <v>0.125</v>
      </c>
      <c r="J31">
        <v>0</v>
      </c>
      <c r="K31">
        <v>0</v>
      </c>
      <c r="L31">
        <v>0.48387096774193555</v>
      </c>
      <c r="M31">
        <v>0.2156862745098039</v>
      </c>
      <c r="N31">
        <v>0.4949152542372881</v>
      </c>
      <c r="O31">
        <v>0.76470588235294112</v>
      </c>
      <c r="P31">
        <v>0.68699186991869898</v>
      </c>
      <c r="Q31">
        <v>0.69756662804171488</v>
      </c>
      <c r="R31">
        <v>0.66666666666666663</v>
      </c>
      <c r="S31">
        <v>0</v>
      </c>
      <c r="T31">
        <v>0.10524461445540574</v>
      </c>
      <c r="U31">
        <v>0.25887763179157675</v>
      </c>
      <c r="V31">
        <v>0.41428571428571431</v>
      </c>
      <c r="W31">
        <v>5.1282051282051287E-2</v>
      </c>
      <c r="X31">
        <v>8.3612040133779347E-2</v>
      </c>
      <c r="Y31">
        <v>0.9767441860465117</v>
      </c>
      <c r="Z31">
        <v>7.5950247913170593E-2</v>
      </c>
    </row>
    <row r="32" spans="1:26" x14ac:dyDescent="0.2">
      <c r="A32">
        <v>0.70222822417285624</v>
      </c>
      <c r="B32">
        <v>0.94091710758377434</v>
      </c>
      <c r="C32">
        <v>0.28888888888888886</v>
      </c>
      <c r="D32">
        <v>0.77669902912621369</v>
      </c>
      <c r="E32">
        <v>8.7499999999999994E-2</v>
      </c>
      <c r="F32">
        <v>0.70312500000000011</v>
      </c>
      <c r="G32">
        <v>0.72527472527472525</v>
      </c>
      <c r="H32">
        <v>0.27272727272727271</v>
      </c>
      <c r="I32">
        <v>0.5</v>
      </c>
      <c r="J32">
        <v>0</v>
      </c>
      <c r="K32">
        <v>1</v>
      </c>
      <c r="L32">
        <v>0.61290322580645162</v>
      </c>
      <c r="M32">
        <v>0.2745098039215686</v>
      </c>
      <c r="N32">
        <v>0.87457627118644077</v>
      </c>
      <c r="O32">
        <v>0.79044117647058831</v>
      </c>
      <c r="P32">
        <v>0.75609756097560954</v>
      </c>
      <c r="Q32">
        <v>0.83429895712630342</v>
      </c>
      <c r="R32">
        <v>0.4</v>
      </c>
      <c r="S32">
        <v>0.12</v>
      </c>
      <c r="T32">
        <v>0.15638212200523463</v>
      </c>
      <c r="U32">
        <v>0.33334702809892008</v>
      </c>
      <c r="V32">
        <v>0.41428571428571431</v>
      </c>
      <c r="W32">
        <v>0.51282051282051289</v>
      </c>
      <c r="X32">
        <v>0.17391304347826078</v>
      </c>
      <c r="Y32">
        <v>1</v>
      </c>
      <c r="Z32">
        <v>1.7369063155280126E-2</v>
      </c>
    </row>
    <row r="33" spans="1:26" x14ac:dyDescent="0.2">
      <c r="A33">
        <v>0.72180958811613782</v>
      </c>
      <c r="B33">
        <v>0.88447971781305124</v>
      </c>
      <c r="C33">
        <v>0.55555555555555558</v>
      </c>
      <c r="D33">
        <v>0.63106796116504849</v>
      </c>
      <c r="E33">
        <v>0.73750000000000004</v>
      </c>
      <c r="F33">
        <v>0.984375</v>
      </c>
      <c r="G33">
        <v>0.74725274725274715</v>
      </c>
      <c r="H33">
        <v>0.45454545454545453</v>
      </c>
      <c r="I33">
        <v>0.125</v>
      </c>
      <c r="J33">
        <v>0</v>
      </c>
      <c r="K33">
        <v>0</v>
      </c>
      <c r="L33">
        <v>0.66129032258064513</v>
      </c>
      <c r="M33">
        <v>0.24509803921568626</v>
      </c>
      <c r="N33">
        <v>0.6372881355932204</v>
      </c>
      <c r="O33">
        <v>0.58823529411764708</v>
      </c>
      <c r="P33">
        <v>0.45121951219512191</v>
      </c>
      <c r="Q33">
        <v>1</v>
      </c>
      <c r="R33">
        <v>0.31111111111111112</v>
      </c>
      <c r="S33">
        <v>0</v>
      </c>
      <c r="T33">
        <v>0.15965371451580429</v>
      </c>
      <c r="U33">
        <v>0.26721610066200507</v>
      </c>
      <c r="V33">
        <v>0.3714285714285715</v>
      </c>
      <c r="W33">
        <v>0.51282051282051289</v>
      </c>
      <c r="X33">
        <v>0.21404682274247491</v>
      </c>
      <c r="Y33">
        <v>0.53488372093023262</v>
      </c>
      <c r="Z33">
        <v>0</v>
      </c>
    </row>
    <row r="34" spans="1:26" x14ac:dyDescent="0.2">
      <c r="A34">
        <v>0.76907494935854159</v>
      </c>
      <c r="B34">
        <v>0.8571428571428571</v>
      </c>
      <c r="C34">
        <v>0.31111111111111112</v>
      </c>
      <c r="D34">
        <v>0.66019417475728148</v>
      </c>
      <c r="E34">
        <v>0.3</v>
      </c>
      <c r="F34">
        <v>0.828125</v>
      </c>
      <c r="G34">
        <v>0.5714285714285714</v>
      </c>
      <c r="H34">
        <v>0.72727272727272729</v>
      </c>
      <c r="I34">
        <v>0</v>
      </c>
      <c r="J34">
        <v>0</v>
      </c>
      <c r="K34">
        <v>0</v>
      </c>
      <c r="L34">
        <v>0.82258064516129037</v>
      </c>
      <c r="M34">
        <v>0.34313725490196073</v>
      </c>
      <c r="N34">
        <v>0.85762711864406782</v>
      </c>
      <c r="O34">
        <v>0.73529411764705888</v>
      </c>
      <c r="P34">
        <v>0.77235772357723564</v>
      </c>
      <c r="Q34">
        <v>0.70104287369640772</v>
      </c>
      <c r="R34">
        <v>0.31111111111111112</v>
      </c>
      <c r="S34">
        <v>0.2</v>
      </c>
      <c r="T34">
        <v>0.40799275216428427</v>
      </c>
      <c r="U34">
        <v>0.15910249984251029</v>
      </c>
      <c r="V34">
        <v>0.38571428571428573</v>
      </c>
      <c r="W34">
        <v>0.15384615384615388</v>
      </c>
      <c r="X34">
        <v>0.33110367892976578</v>
      </c>
      <c r="Y34">
        <v>0.11627906976744187</v>
      </c>
      <c r="Z34">
        <v>7.9491197318652576E-2</v>
      </c>
    </row>
    <row r="35" spans="1:26" x14ac:dyDescent="0.2">
      <c r="A35">
        <v>0.70425388251181642</v>
      </c>
      <c r="B35">
        <v>0.89947089947089953</v>
      </c>
      <c r="C35">
        <v>6.6666666666666666E-2</v>
      </c>
      <c r="D35">
        <v>1</v>
      </c>
      <c r="E35">
        <v>3.7499999999999992E-2</v>
      </c>
      <c r="F35">
        <v>1</v>
      </c>
      <c r="G35">
        <v>0.78021978021978022</v>
      </c>
      <c r="H35">
        <v>1</v>
      </c>
      <c r="I35">
        <v>0.6875</v>
      </c>
      <c r="J35">
        <v>1</v>
      </c>
      <c r="K35">
        <v>0</v>
      </c>
      <c r="L35">
        <v>0.41935483870967749</v>
      </c>
      <c r="M35">
        <v>0.29411764705882348</v>
      </c>
      <c r="N35">
        <v>1</v>
      </c>
      <c r="O35">
        <v>0.65808823529411764</v>
      </c>
      <c r="P35">
        <v>1</v>
      </c>
      <c r="Q35">
        <v>0.36500579374275782</v>
      </c>
      <c r="R35">
        <v>0.24444444444444446</v>
      </c>
      <c r="S35">
        <v>0.12</v>
      </c>
      <c r="T35">
        <v>0.7779343668210188</v>
      </c>
      <c r="U35">
        <v>0.37370276332980013</v>
      </c>
      <c r="V35">
        <v>0.3</v>
      </c>
      <c r="W35">
        <v>0.20512820512820515</v>
      </c>
      <c r="X35">
        <v>0.779264214046823</v>
      </c>
      <c r="Y35">
        <v>0.44186046511627908</v>
      </c>
      <c r="Z35">
        <v>0.29427121001794065</v>
      </c>
    </row>
    <row r="36" spans="1:26" x14ac:dyDescent="0.2">
      <c r="A36">
        <v>0.65698852126941254</v>
      </c>
      <c r="B36">
        <v>0.86419753086419759</v>
      </c>
      <c r="C36">
        <v>0.31111111111111112</v>
      </c>
      <c r="D36">
        <v>0.58252427184466016</v>
      </c>
      <c r="E36">
        <v>0.18749999999999997</v>
      </c>
      <c r="F36">
        <v>0.765625</v>
      </c>
      <c r="G36">
        <v>0.70329670329670324</v>
      </c>
      <c r="H36">
        <v>0.63636363636363635</v>
      </c>
      <c r="I36">
        <v>0.75</v>
      </c>
      <c r="J36">
        <v>0</v>
      </c>
      <c r="K36">
        <v>0</v>
      </c>
      <c r="L36">
        <v>0.58064516129032251</v>
      </c>
      <c r="M36">
        <v>0.32352941176470584</v>
      </c>
      <c r="N36">
        <v>0.85762711864406782</v>
      </c>
      <c r="O36">
        <v>0.77573529411764708</v>
      </c>
      <c r="P36">
        <v>0.55284552845528445</v>
      </c>
      <c r="Q36">
        <v>0.79837775202780981</v>
      </c>
      <c r="R36">
        <v>0.84444444444444455</v>
      </c>
      <c r="S36">
        <v>0.2</v>
      </c>
      <c r="T36">
        <v>0.32212603180994565</v>
      </c>
      <c r="U36">
        <v>0.23256286582142582</v>
      </c>
      <c r="V36">
        <v>0.55714285714285716</v>
      </c>
      <c r="W36">
        <v>0.28205128205128205</v>
      </c>
      <c r="X36">
        <v>1.0033444816053684E-2</v>
      </c>
      <c r="Y36">
        <v>0.48837209302325585</v>
      </c>
      <c r="Z36">
        <v>5.8673320638340569E-2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37"/>
  <sheetViews>
    <sheetView workbookViewId="0">
      <selection activeCell="AA1" sqref="AA1:AA1048576"/>
    </sheetView>
  </sheetViews>
  <sheetFormatPr baseColWidth="10" defaultRowHeight="16" x14ac:dyDescent="0.2"/>
  <sheetData>
    <row r="1" spans="1:27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">
      <c r="A2">
        <v>1.38E-2</v>
      </c>
      <c r="B2">
        <v>9.1599999999999997E-3</v>
      </c>
      <c r="C2">
        <v>4.0000000000000003E-5</v>
      </c>
      <c r="D2">
        <v>9.1E-4</v>
      </c>
      <c r="E2">
        <v>3.6000000000000002E-4</v>
      </c>
      <c r="F2">
        <v>3.6000000000000002E-4</v>
      </c>
      <c r="G2">
        <v>1.9000000000000001E-4</v>
      </c>
      <c r="H2">
        <v>3.6000000000000002E-4</v>
      </c>
      <c r="I2">
        <v>6.0000000000000002E-5</v>
      </c>
      <c r="J2">
        <v>0</v>
      </c>
      <c r="K2">
        <v>0</v>
      </c>
      <c r="L2">
        <v>2.3000000000000001E-4</v>
      </c>
      <c r="M2">
        <v>4.4999999999999999E-4</v>
      </c>
      <c r="N2">
        <v>2.8500000000000001E-3</v>
      </c>
      <c r="O2">
        <v>2.2300000000000002E-3</v>
      </c>
      <c r="P2">
        <v>2.5100000000000001E-3</v>
      </c>
      <c r="Q2">
        <v>5.4400000000000004E-3</v>
      </c>
      <c r="R2">
        <v>6.0000000000000002E-5</v>
      </c>
      <c r="S2">
        <v>6.0000000000000002E-5</v>
      </c>
      <c r="T2">
        <v>0.24457000000000001</v>
      </c>
      <c r="U2">
        <v>25</v>
      </c>
      <c r="V2">
        <v>2.5999999999999998E-4</v>
      </c>
      <c r="W2">
        <v>2.5999999999999998E-4</v>
      </c>
      <c r="X2">
        <v>1.1520000000000001E-2</v>
      </c>
      <c r="Y2">
        <v>0</v>
      </c>
      <c r="Z2">
        <v>47.417340000000003</v>
      </c>
      <c r="AA2" s="1" t="s">
        <v>61</v>
      </c>
    </row>
    <row r="3" spans="1:27" x14ac:dyDescent="0.2">
      <c r="A3">
        <v>1.434E-2</v>
      </c>
      <c r="B3">
        <v>7.9500000000000005E-3</v>
      </c>
      <c r="C3">
        <v>0</v>
      </c>
      <c r="D3">
        <v>9.3999999999999997E-4</v>
      </c>
      <c r="E3">
        <v>6.2E-4</v>
      </c>
      <c r="F3">
        <v>4.8999999999999998E-4</v>
      </c>
      <c r="G3">
        <v>4.4000000000000002E-4</v>
      </c>
      <c r="H3">
        <v>3.4000000000000002E-4</v>
      </c>
      <c r="I3">
        <v>1E-4</v>
      </c>
      <c r="J3">
        <v>0</v>
      </c>
      <c r="K3">
        <v>0</v>
      </c>
      <c r="L3">
        <v>2.9E-4</v>
      </c>
      <c r="M3">
        <v>5.9999999999999995E-4</v>
      </c>
      <c r="N3">
        <v>2.5699999999999998E-3</v>
      </c>
      <c r="O3">
        <v>3.0699999999999998E-3</v>
      </c>
      <c r="P3">
        <v>2.4199999999999998E-3</v>
      </c>
      <c r="Q3">
        <v>5.6100000000000004E-3</v>
      </c>
      <c r="R3">
        <v>1.8000000000000001E-4</v>
      </c>
      <c r="S3">
        <v>8.0000000000000007E-5</v>
      </c>
      <c r="T3">
        <v>0.22302</v>
      </c>
      <c r="U3">
        <v>21.425640000000001</v>
      </c>
      <c r="V3">
        <v>3.6000000000000002E-4</v>
      </c>
      <c r="W3">
        <v>3.8999999999999999E-4</v>
      </c>
      <c r="X3">
        <v>9.5600000000000008E-3</v>
      </c>
      <c r="Y3">
        <v>1E-4</v>
      </c>
      <c r="Z3">
        <v>42.246980000000001</v>
      </c>
      <c r="AA3" s="1" t="s">
        <v>62</v>
      </c>
    </row>
    <row r="4" spans="1:27" x14ac:dyDescent="0.2">
      <c r="A4">
        <v>1.619E-2</v>
      </c>
      <c r="B4">
        <v>8.9700000000000005E-3</v>
      </c>
      <c r="C4">
        <v>0</v>
      </c>
      <c r="D4">
        <v>6.8000000000000005E-4</v>
      </c>
      <c r="E4">
        <v>4.0000000000000002E-4</v>
      </c>
      <c r="F4">
        <v>2.7999999999999998E-4</v>
      </c>
      <c r="G4">
        <v>1.2E-4</v>
      </c>
      <c r="H4">
        <v>1.9000000000000001E-4</v>
      </c>
      <c r="I4">
        <v>1.2E-4</v>
      </c>
      <c r="J4">
        <v>0</v>
      </c>
      <c r="K4">
        <v>0</v>
      </c>
      <c r="L4">
        <v>1.2E-4</v>
      </c>
      <c r="M4">
        <v>5.5999999999999995E-4</v>
      </c>
      <c r="N4">
        <v>2.6199999999999999E-3</v>
      </c>
      <c r="O4">
        <v>2.5600000000000002E-3</v>
      </c>
      <c r="P4">
        <v>2.5300000000000001E-3</v>
      </c>
      <c r="Q4">
        <v>5.2100000000000002E-3</v>
      </c>
      <c r="R4">
        <v>1.4999999999999999E-4</v>
      </c>
      <c r="S4">
        <v>9.0000000000000006E-5</v>
      </c>
      <c r="T4">
        <v>0.22353000000000001</v>
      </c>
      <c r="U4">
        <v>24.723929999999999</v>
      </c>
      <c r="V4">
        <v>1.9000000000000001E-4</v>
      </c>
      <c r="W4">
        <v>2.5000000000000001E-4</v>
      </c>
      <c r="X4">
        <v>1.116E-2</v>
      </c>
      <c r="Y4">
        <v>9.0000000000000006E-5</v>
      </c>
      <c r="Z4">
        <v>42.505899999999997</v>
      </c>
      <c r="AA4" t="s">
        <v>27</v>
      </c>
    </row>
    <row r="5" spans="1:27" x14ac:dyDescent="0.2">
      <c r="A5">
        <v>1.3679999999999999E-2</v>
      </c>
      <c r="B5">
        <v>1.017E-2</v>
      </c>
      <c r="C5">
        <v>2.0000000000000002E-5</v>
      </c>
      <c r="D5">
        <v>7.1000000000000002E-4</v>
      </c>
      <c r="E5">
        <v>2.9E-4</v>
      </c>
      <c r="F5">
        <v>2.7E-4</v>
      </c>
      <c r="G5">
        <v>2.1000000000000001E-4</v>
      </c>
      <c r="H5">
        <v>2.5000000000000001E-4</v>
      </c>
      <c r="I5">
        <v>1E-4</v>
      </c>
      <c r="J5">
        <v>0</v>
      </c>
      <c r="K5">
        <v>0</v>
      </c>
      <c r="L5">
        <v>3.3E-4</v>
      </c>
      <c r="M5">
        <v>3.1E-4</v>
      </c>
      <c r="N5">
        <v>2.9199999999999999E-3</v>
      </c>
      <c r="O5">
        <v>2E-3</v>
      </c>
      <c r="P5">
        <v>2.4599999999999999E-3</v>
      </c>
      <c r="Q5">
        <v>6.45E-3</v>
      </c>
      <c r="R5">
        <v>1.2999999999999999E-4</v>
      </c>
      <c r="S5">
        <v>1.2999999999999999E-4</v>
      </c>
      <c r="T5">
        <v>0.20630999999999999</v>
      </c>
      <c r="U5">
        <v>23.547509999999999</v>
      </c>
      <c r="V5">
        <v>1.7000000000000001E-4</v>
      </c>
      <c r="W5">
        <v>4.2000000000000002E-4</v>
      </c>
      <c r="X5">
        <v>1.009E-2</v>
      </c>
      <c r="Y5">
        <v>2.3000000000000001E-4</v>
      </c>
      <c r="Z5">
        <v>40.043480000000002</v>
      </c>
      <c r="AA5" t="s">
        <v>28</v>
      </c>
    </row>
    <row r="6" spans="1:27" x14ac:dyDescent="0.2">
      <c r="A6">
        <v>1.532E-2</v>
      </c>
      <c r="B6">
        <v>1.057E-2</v>
      </c>
      <c r="C6">
        <v>0</v>
      </c>
      <c r="D6">
        <v>8.7000000000000001E-4</v>
      </c>
      <c r="E6">
        <v>5.8E-4</v>
      </c>
      <c r="F6">
        <v>4.8000000000000001E-4</v>
      </c>
      <c r="G6">
        <v>3.1E-4</v>
      </c>
      <c r="H6">
        <v>1.9000000000000001E-4</v>
      </c>
      <c r="I6">
        <v>5.0000000000000002E-5</v>
      </c>
      <c r="J6">
        <v>0</v>
      </c>
      <c r="K6">
        <v>2.0000000000000002E-5</v>
      </c>
      <c r="L6">
        <v>1.9000000000000001E-4</v>
      </c>
      <c r="M6">
        <v>3.6000000000000002E-4</v>
      </c>
      <c r="N6">
        <v>2.5300000000000001E-3</v>
      </c>
      <c r="O6">
        <v>2.48E-3</v>
      </c>
      <c r="P6">
        <v>3.3800000000000002E-3</v>
      </c>
      <c r="Q6">
        <v>4.0299999999999997E-3</v>
      </c>
      <c r="R6">
        <v>1.7000000000000001E-4</v>
      </c>
      <c r="S6">
        <v>1.3999999999999999E-4</v>
      </c>
      <c r="T6">
        <v>0.26952999999999999</v>
      </c>
      <c r="U6">
        <v>23.557939999999999</v>
      </c>
      <c r="V6">
        <v>3.4000000000000002E-4</v>
      </c>
      <c r="W6">
        <v>3.1E-4</v>
      </c>
      <c r="X6">
        <v>1.252E-2</v>
      </c>
      <c r="Y6">
        <v>0</v>
      </c>
      <c r="Z6">
        <v>50.556100000000001</v>
      </c>
      <c r="AA6" t="s">
        <v>29</v>
      </c>
    </row>
    <row r="7" spans="1:27" x14ac:dyDescent="0.2">
      <c r="A7">
        <v>1.5339999999999999E-2</v>
      </c>
      <c r="B7">
        <v>9.4699999999999993E-3</v>
      </c>
      <c r="C7">
        <v>9.0000000000000006E-5</v>
      </c>
      <c r="D7">
        <v>8.8000000000000003E-4</v>
      </c>
      <c r="E7">
        <v>4.6000000000000001E-4</v>
      </c>
      <c r="F7">
        <v>2.0000000000000001E-4</v>
      </c>
      <c r="G7">
        <v>1.1E-4</v>
      </c>
      <c r="H7">
        <v>1.7000000000000001E-4</v>
      </c>
      <c r="I7">
        <v>3.0000000000000001E-5</v>
      </c>
      <c r="J7">
        <v>0</v>
      </c>
      <c r="K7">
        <v>0</v>
      </c>
      <c r="L7">
        <v>4.2999999999999999E-4</v>
      </c>
      <c r="M7">
        <v>8.5999999999999998E-4</v>
      </c>
      <c r="N7">
        <v>2.5100000000000001E-3</v>
      </c>
      <c r="O7">
        <v>2.2000000000000001E-3</v>
      </c>
      <c r="P7">
        <v>2.2000000000000001E-3</v>
      </c>
      <c r="Q7">
        <v>6.3600000000000002E-3</v>
      </c>
      <c r="R7">
        <v>2.0000000000000001E-4</v>
      </c>
      <c r="S7">
        <v>2.3000000000000001E-4</v>
      </c>
      <c r="T7">
        <v>0.16289000000000001</v>
      </c>
      <c r="U7">
        <v>22.219180000000001</v>
      </c>
      <c r="V7">
        <v>1.1E-4</v>
      </c>
      <c r="W7">
        <v>2.5999999999999998E-4</v>
      </c>
      <c r="X7">
        <v>1.1089999999999999E-2</v>
      </c>
      <c r="Y7">
        <v>9.0000000000000006E-5</v>
      </c>
      <c r="Z7">
        <v>37.863930000000003</v>
      </c>
      <c r="AA7" t="s">
        <v>30</v>
      </c>
    </row>
    <row r="8" spans="1:27" x14ac:dyDescent="0.2">
      <c r="A8">
        <v>1.4970000000000001E-2</v>
      </c>
      <c r="B8">
        <v>1.3299999999999999E-2</v>
      </c>
      <c r="C8">
        <v>4.4999999999999999E-4</v>
      </c>
      <c r="D8">
        <v>1.1000000000000001E-3</v>
      </c>
      <c r="E8">
        <v>4.0999999999999999E-4</v>
      </c>
      <c r="F8">
        <v>6.0999999999999997E-4</v>
      </c>
      <c r="G8">
        <v>1.6000000000000001E-4</v>
      </c>
      <c r="H8">
        <v>3.2000000000000003E-4</v>
      </c>
      <c r="I8">
        <v>0</v>
      </c>
      <c r="J8">
        <v>0</v>
      </c>
      <c r="K8">
        <v>0</v>
      </c>
      <c r="L8">
        <v>8.0000000000000007E-5</v>
      </c>
      <c r="M8">
        <v>3.2000000000000003E-4</v>
      </c>
      <c r="N8">
        <v>2.1099999999999999E-3</v>
      </c>
      <c r="O8">
        <v>2.3900000000000002E-3</v>
      </c>
      <c r="P8">
        <v>2.47E-3</v>
      </c>
      <c r="Q8">
        <v>3.9300000000000003E-3</v>
      </c>
      <c r="R8">
        <v>1.6000000000000001E-4</v>
      </c>
      <c r="S8">
        <v>8.0000000000000007E-5</v>
      </c>
      <c r="T8">
        <v>0.20660999999999999</v>
      </c>
      <c r="U8">
        <v>22.605840000000001</v>
      </c>
      <c r="V8">
        <v>2.0000000000000001E-4</v>
      </c>
      <c r="W8">
        <v>1.6000000000000001E-4</v>
      </c>
      <c r="X8">
        <v>1.1440000000000001E-2</v>
      </c>
      <c r="Y8">
        <v>8.0000000000000007E-5</v>
      </c>
      <c r="Z8">
        <v>42.512070000000001</v>
      </c>
      <c r="AA8" t="s">
        <v>31</v>
      </c>
    </row>
    <row r="9" spans="1:27" x14ac:dyDescent="0.2">
      <c r="A9">
        <v>1.7309999999999999E-2</v>
      </c>
      <c r="B9">
        <v>8.6700000000000006E-3</v>
      </c>
      <c r="C9">
        <v>0</v>
      </c>
      <c r="D9">
        <v>7.6999999999999996E-4</v>
      </c>
      <c r="E9">
        <v>7.6999999999999996E-4</v>
      </c>
      <c r="F9">
        <v>2.7999999999999998E-4</v>
      </c>
      <c r="G9">
        <v>3.5E-4</v>
      </c>
      <c r="H9">
        <v>1.7000000000000001E-4</v>
      </c>
      <c r="I9">
        <v>1E-4</v>
      </c>
      <c r="J9">
        <v>0</v>
      </c>
      <c r="K9">
        <v>0</v>
      </c>
      <c r="L9">
        <v>5.9000000000000003E-4</v>
      </c>
      <c r="M9">
        <v>5.1999999999999995E-4</v>
      </c>
      <c r="N9">
        <v>2.3400000000000001E-3</v>
      </c>
      <c r="O9">
        <v>2.48E-3</v>
      </c>
      <c r="P9">
        <v>2.6900000000000001E-3</v>
      </c>
      <c r="Q9">
        <v>6.6400000000000001E-3</v>
      </c>
      <c r="R9">
        <v>2.7999999999999998E-4</v>
      </c>
      <c r="S9">
        <v>2.1000000000000001E-4</v>
      </c>
      <c r="T9">
        <v>0.19868</v>
      </c>
      <c r="U9">
        <v>21.063379999999999</v>
      </c>
      <c r="V9">
        <v>2.4000000000000001E-4</v>
      </c>
      <c r="W9">
        <v>1.3999999999999999E-4</v>
      </c>
      <c r="X9">
        <v>1.0279999999999999E-2</v>
      </c>
      <c r="Y9">
        <v>1E-4</v>
      </c>
      <c r="Z9">
        <v>36.066830000000003</v>
      </c>
      <c r="AA9" t="s">
        <v>32</v>
      </c>
    </row>
    <row r="10" spans="1:27" x14ac:dyDescent="0.2">
      <c r="A10">
        <v>1.477E-2</v>
      </c>
      <c r="B10">
        <v>1.072E-2</v>
      </c>
      <c r="C10">
        <v>0</v>
      </c>
      <c r="D10">
        <v>8.1999999999999998E-4</v>
      </c>
      <c r="E10">
        <v>4.0000000000000002E-4</v>
      </c>
      <c r="F10">
        <v>5.2999999999999998E-4</v>
      </c>
      <c r="G10">
        <v>4.2999999999999999E-4</v>
      </c>
      <c r="H10">
        <v>1E-4</v>
      </c>
      <c r="I10">
        <v>1.6000000000000001E-4</v>
      </c>
      <c r="J10">
        <v>0</v>
      </c>
      <c r="K10">
        <v>0</v>
      </c>
      <c r="L10">
        <v>3.3E-4</v>
      </c>
      <c r="M10">
        <v>4.0000000000000002E-4</v>
      </c>
      <c r="N10">
        <v>2.2100000000000002E-3</v>
      </c>
      <c r="O10">
        <v>2.0400000000000001E-3</v>
      </c>
      <c r="P10">
        <v>3.0699999999999998E-3</v>
      </c>
      <c r="Q10">
        <v>7.1199999999999996E-3</v>
      </c>
      <c r="R10">
        <v>6.9999999999999994E-5</v>
      </c>
      <c r="S10">
        <v>1E-4</v>
      </c>
      <c r="T10">
        <v>0.20363999999999999</v>
      </c>
      <c r="U10">
        <v>24.157889999999998</v>
      </c>
      <c r="V10">
        <v>2.0000000000000001E-4</v>
      </c>
      <c r="W10">
        <v>2.3000000000000001E-4</v>
      </c>
      <c r="X10">
        <v>9.6900000000000007E-3</v>
      </c>
      <c r="Y10">
        <v>0</v>
      </c>
      <c r="Z10">
        <v>36.985370000000003</v>
      </c>
      <c r="AA10" t="s">
        <v>33</v>
      </c>
    </row>
    <row r="11" spans="1:27" x14ac:dyDescent="0.2">
      <c r="A11">
        <v>1.6320000000000001E-2</v>
      </c>
      <c r="B11">
        <v>9.2599999999999991E-3</v>
      </c>
      <c r="C11">
        <v>1.1E-4</v>
      </c>
      <c r="D11">
        <v>7.7999999999999999E-4</v>
      </c>
      <c r="E11">
        <v>2.5000000000000001E-4</v>
      </c>
      <c r="F11">
        <v>3.1E-4</v>
      </c>
      <c r="G11">
        <v>2.5000000000000001E-4</v>
      </c>
      <c r="H11">
        <v>3.1E-4</v>
      </c>
      <c r="I11">
        <v>4.0000000000000003E-5</v>
      </c>
      <c r="J11">
        <v>0</v>
      </c>
      <c r="K11">
        <v>0</v>
      </c>
      <c r="L11">
        <v>3.6000000000000002E-4</v>
      </c>
      <c r="M11">
        <v>5.8E-4</v>
      </c>
      <c r="N11">
        <v>2.4399999999999999E-3</v>
      </c>
      <c r="O11">
        <v>1.9499999999999999E-3</v>
      </c>
      <c r="P11">
        <v>2.5100000000000001E-3</v>
      </c>
      <c r="Q11">
        <v>7.1700000000000002E-3</v>
      </c>
      <c r="R11">
        <v>4.4999999999999999E-4</v>
      </c>
      <c r="S11">
        <v>1.8000000000000001E-4</v>
      </c>
      <c r="T11">
        <v>0.20555999999999999</v>
      </c>
      <c r="U11">
        <v>21.037559999999999</v>
      </c>
      <c r="V11">
        <v>1.6000000000000001E-4</v>
      </c>
      <c r="W11">
        <v>1.2999999999999999E-4</v>
      </c>
      <c r="X11">
        <v>1.0489999999999999E-2</v>
      </c>
      <c r="Y11">
        <v>9.0000000000000006E-5</v>
      </c>
      <c r="Z11">
        <v>38.924079999999996</v>
      </c>
      <c r="AA11" t="s">
        <v>34</v>
      </c>
    </row>
    <row r="12" spans="1:27" x14ac:dyDescent="0.2">
      <c r="A12">
        <v>1.375E-2</v>
      </c>
      <c r="B12">
        <v>9.2700000000000005E-3</v>
      </c>
      <c r="C12">
        <v>6.9999999999999994E-5</v>
      </c>
      <c r="D12">
        <v>8.1999999999999998E-4</v>
      </c>
      <c r="E12">
        <v>4.0000000000000002E-4</v>
      </c>
      <c r="F12">
        <v>4.4999999999999999E-4</v>
      </c>
      <c r="G12">
        <v>1E-4</v>
      </c>
      <c r="H12">
        <v>3.2000000000000003E-4</v>
      </c>
      <c r="I12">
        <v>1E-4</v>
      </c>
      <c r="J12">
        <v>0</v>
      </c>
      <c r="K12">
        <v>0</v>
      </c>
      <c r="L12">
        <v>3.5E-4</v>
      </c>
      <c r="M12">
        <v>1.0200000000000001E-3</v>
      </c>
      <c r="N12">
        <v>2.5699999999999998E-3</v>
      </c>
      <c r="O12">
        <v>2.3999999999999998E-3</v>
      </c>
      <c r="P12">
        <v>1.9499999999999999E-3</v>
      </c>
      <c r="Q12">
        <v>6.8700000000000002E-3</v>
      </c>
      <c r="R12">
        <v>1.7000000000000001E-4</v>
      </c>
      <c r="S12">
        <v>6.9999999999999994E-5</v>
      </c>
      <c r="T12">
        <v>0.1827</v>
      </c>
      <c r="U12">
        <v>20.61017</v>
      </c>
      <c r="V12">
        <v>2.5000000000000001E-4</v>
      </c>
      <c r="W12">
        <v>1.2E-4</v>
      </c>
      <c r="X12">
        <v>9.7699999999999992E-3</v>
      </c>
      <c r="Y12">
        <v>2.0000000000000002E-5</v>
      </c>
      <c r="Z12">
        <v>36.5</v>
      </c>
      <c r="AA12" t="s">
        <v>35</v>
      </c>
    </row>
    <row r="13" spans="1:27" x14ac:dyDescent="0.2">
      <c r="A13">
        <v>1.38E-2</v>
      </c>
      <c r="B13">
        <v>1.077E-2</v>
      </c>
      <c r="C13">
        <v>6.9999999999999994E-5</v>
      </c>
      <c r="D13">
        <v>1.1000000000000001E-3</v>
      </c>
      <c r="E13">
        <v>5.1999999999999995E-4</v>
      </c>
      <c r="F13">
        <v>4.4999999999999999E-4</v>
      </c>
      <c r="G13">
        <v>2.5000000000000001E-4</v>
      </c>
      <c r="H13">
        <v>3.8000000000000002E-4</v>
      </c>
      <c r="I13">
        <v>1.2E-4</v>
      </c>
      <c r="J13">
        <v>0</v>
      </c>
      <c r="K13">
        <v>0</v>
      </c>
      <c r="L13">
        <v>4.8000000000000001E-4</v>
      </c>
      <c r="M13">
        <v>5.6999999999999998E-4</v>
      </c>
      <c r="N13">
        <v>2.2499999999999998E-3</v>
      </c>
      <c r="O13">
        <v>2.6199999999999999E-3</v>
      </c>
      <c r="P13">
        <v>2.8999999999999998E-3</v>
      </c>
      <c r="Q13">
        <v>5.2900000000000004E-3</v>
      </c>
      <c r="R13">
        <v>1.4999999999999999E-4</v>
      </c>
      <c r="S13">
        <v>1.2E-4</v>
      </c>
      <c r="T13">
        <v>0.19736999999999999</v>
      </c>
      <c r="U13">
        <v>22.394159999999999</v>
      </c>
      <c r="V13">
        <v>2.7999999999999998E-4</v>
      </c>
      <c r="W13">
        <v>1E-4</v>
      </c>
      <c r="X13">
        <v>1.1769999999999999E-2</v>
      </c>
      <c r="Y13">
        <v>1E-4</v>
      </c>
      <c r="Z13">
        <v>43.350940000000001</v>
      </c>
      <c r="AA13" t="s">
        <v>36</v>
      </c>
    </row>
    <row r="14" spans="1:27" x14ac:dyDescent="0.2">
      <c r="A14">
        <v>1.4290000000000001E-2</v>
      </c>
      <c r="B14">
        <v>9.0399999999999994E-3</v>
      </c>
      <c r="C14">
        <v>2.0000000000000002E-5</v>
      </c>
      <c r="D14">
        <v>8.3000000000000001E-4</v>
      </c>
      <c r="E14">
        <v>9.6000000000000002E-4</v>
      </c>
      <c r="F14">
        <v>4.8999999999999998E-4</v>
      </c>
      <c r="G14">
        <v>9.0000000000000006E-5</v>
      </c>
      <c r="H14">
        <v>1.2999999999999999E-4</v>
      </c>
      <c r="I14">
        <v>9.0000000000000006E-5</v>
      </c>
      <c r="J14">
        <v>0</v>
      </c>
      <c r="K14">
        <v>0</v>
      </c>
      <c r="L14">
        <v>2.0000000000000001E-4</v>
      </c>
      <c r="M14">
        <v>5.8E-4</v>
      </c>
      <c r="N14">
        <v>2.1700000000000001E-3</v>
      </c>
      <c r="O14">
        <v>1.9400000000000001E-3</v>
      </c>
      <c r="P14">
        <v>2.0799999999999998E-3</v>
      </c>
      <c r="Q14">
        <v>7.5700000000000003E-3</v>
      </c>
      <c r="R14">
        <v>2.2000000000000001E-4</v>
      </c>
      <c r="S14">
        <v>4.0000000000000003E-5</v>
      </c>
      <c r="T14">
        <v>0.1399</v>
      </c>
      <c r="U14">
        <v>22.092020000000002</v>
      </c>
      <c r="V14">
        <v>2.0000000000000001E-4</v>
      </c>
      <c r="W14">
        <v>1.1E-4</v>
      </c>
      <c r="X14">
        <v>9.5300000000000003E-3</v>
      </c>
      <c r="Y14">
        <v>9.0000000000000006E-5</v>
      </c>
      <c r="Z14">
        <v>34.382959999999997</v>
      </c>
      <c r="AA14" t="s">
        <v>37</v>
      </c>
    </row>
    <row r="15" spans="1:27" x14ac:dyDescent="0.2">
      <c r="A15">
        <v>1.67E-2</v>
      </c>
      <c r="B15">
        <v>9.6900000000000007E-3</v>
      </c>
      <c r="C15">
        <v>3.0000000000000001E-5</v>
      </c>
      <c r="D15">
        <v>4.2999999999999999E-4</v>
      </c>
      <c r="E15">
        <v>2.5999999999999998E-4</v>
      </c>
      <c r="F15">
        <v>2.3000000000000001E-4</v>
      </c>
      <c r="G15">
        <v>2.5999999999999998E-4</v>
      </c>
      <c r="H15">
        <v>1.7000000000000001E-4</v>
      </c>
      <c r="I15">
        <v>3.0000000000000001E-5</v>
      </c>
      <c r="J15">
        <v>0</v>
      </c>
      <c r="K15">
        <v>0</v>
      </c>
      <c r="L15">
        <v>3.1E-4</v>
      </c>
      <c r="M15">
        <v>7.3999999999999999E-4</v>
      </c>
      <c r="N15">
        <v>2.8500000000000001E-3</v>
      </c>
      <c r="O15">
        <v>2.3400000000000001E-3</v>
      </c>
      <c r="P15">
        <v>2.1900000000000001E-3</v>
      </c>
      <c r="Q15">
        <v>6.7799999999999996E-3</v>
      </c>
      <c r="R15">
        <v>3.0000000000000001E-5</v>
      </c>
      <c r="S15">
        <v>1.7000000000000001E-4</v>
      </c>
      <c r="T15">
        <v>0.16583999999999999</v>
      </c>
      <c r="U15">
        <v>20.35849</v>
      </c>
      <c r="V15">
        <v>6.0000000000000002E-5</v>
      </c>
      <c r="W15">
        <v>1.1E-4</v>
      </c>
      <c r="X15">
        <v>1.128E-2</v>
      </c>
      <c r="Y15">
        <v>9.0000000000000006E-5</v>
      </c>
      <c r="Z15">
        <v>33.716619999999999</v>
      </c>
      <c r="AA15" t="s">
        <v>38</v>
      </c>
    </row>
    <row r="16" spans="1:27" x14ac:dyDescent="0.2">
      <c r="A16">
        <v>1.3469999999999999E-2</v>
      </c>
      <c r="B16">
        <v>9.6600000000000002E-3</v>
      </c>
      <c r="C16">
        <v>2.0000000000000002E-5</v>
      </c>
      <c r="D16">
        <v>9.1E-4</v>
      </c>
      <c r="E16">
        <v>3.1E-4</v>
      </c>
      <c r="F16">
        <v>3.1E-4</v>
      </c>
      <c r="G16">
        <v>2.5999999999999998E-4</v>
      </c>
      <c r="H16">
        <v>1.4999999999999999E-4</v>
      </c>
      <c r="I16">
        <v>1.2999999999999999E-4</v>
      </c>
      <c r="J16">
        <v>0</v>
      </c>
      <c r="K16">
        <v>0</v>
      </c>
      <c r="L16">
        <v>2.5999999999999998E-4</v>
      </c>
      <c r="M16">
        <v>3.1E-4</v>
      </c>
      <c r="N16">
        <v>2.16E-3</v>
      </c>
      <c r="O16">
        <v>2.32E-3</v>
      </c>
      <c r="P16">
        <v>2.5400000000000002E-3</v>
      </c>
      <c r="Q16">
        <v>5.4000000000000003E-3</v>
      </c>
      <c r="R16">
        <v>1.6000000000000001E-4</v>
      </c>
      <c r="S16">
        <v>1.4999999999999999E-4</v>
      </c>
      <c r="T16">
        <v>0.17441999999999999</v>
      </c>
      <c r="U16">
        <v>21.310040000000001</v>
      </c>
      <c r="V16">
        <v>1.8000000000000001E-4</v>
      </c>
      <c r="W16">
        <v>9.0000000000000006E-5</v>
      </c>
      <c r="X16">
        <v>1.043E-2</v>
      </c>
      <c r="Y16">
        <v>1.4999999999999999E-4</v>
      </c>
      <c r="Z16">
        <v>38.67304</v>
      </c>
      <c r="AA16" t="s">
        <v>39</v>
      </c>
    </row>
    <row r="17" spans="1:27" x14ac:dyDescent="0.2">
      <c r="A17">
        <v>1.55E-2</v>
      </c>
      <c r="B17">
        <v>9.7900000000000001E-3</v>
      </c>
      <c r="C17">
        <v>2.0000000000000002E-5</v>
      </c>
      <c r="D17">
        <v>5.5000000000000003E-4</v>
      </c>
      <c r="E17">
        <v>3.8000000000000002E-4</v>
      </c>
      <c r="F17">
        <v>5.5000000000000003E-4</v>
      </c>
      <c r="G17">
        <v>2.7E-4</v>
      </c>
      <c r="H17">
        <v>1.2999999999999999E-4</v>
      </c>
      <c r="I17">
        <v>1.1E-4</v>
      </c>
      <c r="J17">
        <v>0</v>
      </c>
      <c r="K17">
        <v>0</v>
      </c>
      <c r="L17">
        <v>3.4000000000000002E-4</v>
      </c>
      <c r="M17">
        <v>4.6000000000000001E-4</v>
      </c>
      <c r="N17">
        <v>2.8900000000000002E-3</v>
      </c>
      <c r="O17">
        <v>2.6199999999999999E-3</v>
      </c>
      <c r="P17">
        <v>2.1299999999999999E-3</v>
      </c>
      <c r="Q17">
        <v>6.6600000000000001E-3</v>
      </c>
      <c r="R17">
        <v>1.9000000000000001E-4</v>
      </c>
      <c r="S17">
        <v>2.5000000000000001E-4</v>
      </c>
      <c r="T17">
        <v>0.18637000000000001</v>
      </c>
      <c r="U17">
        <v>21.33333</v>
      </c>
      <c r="V17">
        <v>1.2999999999999999E-4</v>
      </c>
      <c r="W17">
        <v>1.1E-4</v>
      </c>
      <c r="X17">
        <v>1.1010000000000001E-2</v>
      </c>
      <c r="Y17">
        <v>6.0000000000000002E-5</v>
      </c>
      <c r="Z17">
        <v>40.826860000000003</v>
      </c>
      <c r="AA17" t="s">
        <v>40</v>
      </c>
    </row>
    <row r="18" spans="1:27" x14ac:dyDescent="0.2">
      <c r="A18">
        <v>1.384E-2</v>
      </c>
      <c r="B18">
        <v>9.5399999999999999E-3</v>
      </c>
      <c r="C18">
        <v>2.0000000000000002E-5</v>
      </c>
      <c r="D18">
        <v>6.6E-4</v>
      </c>
      <c r="E18">
        <v>6.3000000000000003E-4</v>
      </c>
      <c r="F18">
        <v>2.9E-4</v>
      </c>
      <c r="G18">
        <v>1.2999999999999999E-4</v>
      </c>
      <c r="H18">
        <v>1.2999999999999999E-4</v>
      </c>
      <c r="I18">
        <v>6.9999999999999994E-5</v>
      </c>
      <c r="J18">
        <v>0</v>
      </c>
      <c r="K18">
        <v>0</v>
      </c>
      <c r="L18">
        <v>5.5999999999999995E-4</v>
      </c>
      <c r="M18">
        <v>3.1E-4</v>
      </c>
      <c r="N18">
        <v>2.4099999999999998E-3</v>
      </c>
      <c r="O18">
        <v>2.6099999999999999E-3</v>
      </c>
      <c r="P18">
        <v>2.4399999999999999E-3</v>
      </c>
      <c r="Q18">
        <v>6.0400000000000002E-3</v>
      </c>
      <c r="R18">
        <v>2.9E-4</v>
      </c>
      <c r="S18">
        <v>5.0000000000000002E-5</v>
      </c>
      <c r="T18">
        <v>0.19070000000000001</v>
      </c>
      <c r="U18">
        <v>24.360779999999998</v>
      </c>
      <c r="V18">
        <v>2.0000000000000001E-4</v>
      </c>
      <c r="W18">
        <v>2.2000000000000001E-4</v>
      </c>
      <c r="X18">
        <v>1.014E-2</v>
      </c>
      <c r="Y18">
        <v>1.2999999999999999E-4</v>
      </c>
      <c r="Z18">
        <v>40.031649999999999</v>
      </c>
      <c r="AA18" t="s">
        <v>41</v>
      </c>
    </row>
    <row r="19" spans="1:27" x14ac:dyDescent="0.2">
      <c r="A19">
        <v>1.391E-2</v>
      </c>
      <c r="B19">
        <v>8.5599999999999999E-3</v>
      </c>
      <c r="C19">
        <v>0</v>
      </c>
      <c r="D19">
        <v>6.8999999999999997E-4</v>
      </c>
      <c r="E19">
        <v>1.6000000000000001E-4</v>
      </c>
      <c r="F19">
        <v>5.1999999999999995E-4</v>
      </c>
      <c r="G19">
        <v>2.9999999999999997E-4</v>
      </c>
      <c r="H19">
        <v>2.0000000000000001E-4</v>
      </c>
      <c r="I19">
        <v>6.9999999999999994E-5</v>
      </c>
      <c r="J19">
        <v>0</v>
      </c>
      <c r="K19">
        <v>3.0000000000000001E-5</v>
      </c>
      <c r="L19">
        <v>2.9999999999999997E-4</v>
      </c>
      <c r="M19">
        <v>4.2999999999999999E-4</v>
      </c>
      <c r="N19">
        <v>2.3E-3</v>
      </c>
      <c r="O19">
        <v>1.9400000000000001E-3</v>
      </c>
      <c r="P19">
        <v>2.7200000000000002E-3</v>
      </c>
      <c r="Q19">
        <v>5.0200000000000002E-3</v>
      </c>
      <c r="R19">
        <v>1.6000000000000001E-4</v>
      </c>
      <c r="S19">
        <v>6.9999999999999994E-5</v>
      </c>
      <c r="T19">
        <v>0.17788999999999999</v>
      </c>
      <c r="U19">
        <v>22.72</v>
      </c>
      <c r="V19">
        <v>2.3000000000000001E-4</v>
      </c>
      <c r="W19">
        <v>3.0000000000000001E-5</v>
      </c>
      <c r="X19">
        <v>1.03E-2</v>
      </c>
      <c r="Y19">
        <v>1.6000000000000001E-4</v>
      </c>
      <c r="Z19">
        <v>41.701779999999999</v>
      </c>
      <c r="AA19" t="s">
        <v>42</v>
      </c>
    </row>
    <row r="20" spans="1:27" x14ac:dyDescent="0.2">
      <c r="A20">
        <v>1.332E-2</v>
      </c>
      <c r="B20">
        <v>1.0630000000000001E-2</v>
      </c>
      <c r="C20">
        <v>6.0000000000000002E-5</v>
      </c>
      <c r="D20">
        <v>7.6000000000000004E-4</v>
      </c>
      <c r="E20">
        <v>4.6999999999999999E-4</v>
      </c>
      <c r="F20">
        <v>5.5000000000000003E-4</v>
      </c>
      <c r="G20">
        <v>3.8000000000000002E-4</v>
      </c>
      <c r="H20">
        <v>1.4999999999999999E-4</v>
      </c>
      <c r="I20">
        <v>8.0000000000000007E-5</v>
      </c>
      <c r="J20">
        <v>0</v>
      </c>
      <c r="K20">
        <v>0</v>
      </c>
      <c r="L20">
        <v>2.7999999999999998E-4</v>
      </c>
      <c r="M20">
        <v>5.1000000000000004E-4</v>
      </c>
      <c r="N20">
        <v>2.2899999999999999E-3</v>
      </c>
      <c r="O20">
        <v>2.99E-3</v>
      </c>
      <c r="P20">
        <v>2.82E-3</v>
      </c>
      <c r="Q20">
        <v>5.1700000000000001E-3</v>
      </c>
      <c r="R20">
        <v>1.7000000000000001E-4</v>
      </c>
      <c r="S20">
        <v>2.3000000000000001E-4</v>
      </c>
      <c r="T20">
        <v>0.25568999999999997</v>
      </c>
      <c r="U20">
        <v>21.0566</v>
      </c>
      <c r="V20">
        <v>1.1E-4</v>
      </c>
      <c r="W20">
        <v>1.1E-4</v>
      </c>
      <c r="X20">
        <v>1.141E-2</v>
      </c>
      <c r="Y20">
        <v>1.2999999999999999E-4</v>
      </c>
      <c r="Z20">
        <v>47.654890000000002</v>
      </c>
      <c r="AA20" t="s">
        <v>43</v>
      </c>
    </row>
    <row r="21" spans="1:27" x14ac:dyDescent="0.2">
      <c r="A21">
        <v>1.366E-2</v>
      </c>
      <c r="B21">
        <v>8.6199999999999992E-3</v>
      </c>
      <c r="C21">
        <v>0</v>
      </c>
      <c r="D21">
        <v>8.7000000000000001E-4</v>
      </c>
      <c r="E21">
        <v>7.3999999999999999E-4</v>
      </c>
      <c r="F21">
        <v>5.4000000000000001E-4</v>
      </c>
      <c r="G21">
        <v>1.4999999999999999E-4</v>
      </c>
      <c r="H21">
        <v>3.3E-4</v>
      </c>
      <c r="I21">
        <v>1.2999999999999999E-4</v>
      </c>
      <c r="J21">
        <v>0</v>
      </c>
      <c r="K21">
        <v>0</v>
      </c>
      <c r="L21">
        <v>6.8999999999999997E-4</v>
      </c>
      <c r="M21">
        <v>2.5999999999999998E-4</v>
      </c>
      <c r="N21">
        <v>2.1299999999999999E-3</v>
      </c>
      <c r="O21">
        <v>2.0799999999999998E-3</v>
      </c>
      <c r="P21">
        <v>3.2100000000000002E-3</v>
      </c>
      <c r="Q21">
        <v>6.2899999999999996E-3</v>
      </c>
      <c r="R21">
        <v>1E-4</v>
      </c>
      <c r="S21">
        <v>8.0000000000000007E-5</v>
      </c>
      <c r="T21">
        <v>0.24556</v>
      </c>
      <c r="U21">
        <v>21.172409999999999</v>
      </c>
      <c r="V21">
        <v>1.4999999999999999E-4</v>
      </c>
      <c r="W21">
        <v>2.7999999999999998E-4</v>
      </c>
      <c r="X21">
        <v>1.0500000000000001E-2</v>
      </c>
      <c r="Y21">
        <v>5.0000000000000002E-5</v>
      </c>
      <c r="Z21">
        <v>42.346739999999997</v>
      </c>
      <c r="AA21" t="s">
        <v>44</v>
      </c>
    </row>
    <row r="22" spans="1:27" x14ac:dyDescent="0.2">
      <c r="A22">
        <v>3.1700000000000001E-3</v>
      </c>
      <c r="B22">
        <v>2.4099999999999998E-3</v>
      </c>
      <c r="C22">
        <v>0</v>
      </c>
      <c r="D22">
        <v>4.2999999999999999E-4</v>
      </c>
      <c r="E22">
        <v>4.2999999999999999E-4</v>
      </c>
      <c r="F22">
        <v>3.6000000000000002E-4</v>
      </c>
      <c r="G22">
        <v>5.9000000000000003E-4</v>
      </c>
      <c r="H22">
        <v>1E-4</v>
      </c>
      <c r="I22">
        <v>0</v>
      </c>
      <c r="J22">
        <v>3.0000000000000001E-5</v>
      </c>
      <c r="K22">
        <v>0</v>
      </c>
      <c r="L22">
        <v>6.9999999999999994E-5</v>
      </c>
      <c r="M22">
        <v>6.9999999999999994E-5</v>
      </c>
      <c r="N22">
        <v>6.8999999999999997E-4</v>
      </c>
      <c r="O22">
        <v>5.0000000000000001E-4</v>
      </c>
      <c r="P22">
        <v>1.2199999999999999E-3</v>
      </c>
      <c r="Q22">
        <v>3.1099999999999999E-3</v>
      </c>
      <c r="R22">
        <v>0</v>
      </c>
      <c r="S22">
        <v>0</v>
      </c>
      <c r="T22">
        <v>0.1875</v>
      </c>
      <c r="U22">
        <v>36.525419999999997</v>
      </c>
      <c r="V22">
        <v>2.5999999999999998E-4</v>
      </c>
      <c r="W22">
        <v>3.3E-4</v>
      </c>
      <c r="X22">
        <v>1.1169999999999999E-2</v>
      </c>
      <c r="Y22">
        <v>2.5999999999999998E-4</v>
      </c>
      <c r="Z22">
        <v>86.48</v>
      </c>
      <c r="AA22" t="s">
        <v>45</v>
      </c>
    </row>
    <row r="23" spans="1:27" x14ac:dyDescent="0.2">
      <c r="A23">
        <v>3.13E-3</v>
      </c>
      <c r="B23">
        <v>2.7699999999999999E-3</v>
      </c>
      <c r="C23">
        <v>2.0000000000000002E-5</v>
      </c>
      <c r="D23">
        <v>3.4000000000000002E-4</v>
      </c>
      <c r="E23">
        <v>2.4000000000000001E-4</v>
      </c>
      <c r="F23">
        <v>1.3999999999999999E-4</v>
      </c>
      <c r="G23">
        <v>6.9999999999999999E-4</v>
      </c>
      <c r="H23">
        <v>6.9999999999999994E-5</v>
      </c>
      <c r="I23">
        <v>2.0000000000000002E-5</v>
      </c>
      <c r="J23">
        <v>5.0000000000000002E-5</v>
      </c>
      <c r="K23">
        <v>0</v>
      </c>
      <c r="L23">
        <v>1.7000000000000001E-4</v>
      </c>
      <c r="M23">
        <v>5.0000000000000002E-5</v>
      </c>
      <c r="N23">
        <v>5.8E-4</v>
      </c>
      <c r="O23">
        <v>5.9999999999999995E-4</v>
      </c>
      <c r="P23">
        <v>1.47E-3</v>
      </c>
      <c r="Q23">
        <v>3.6600000000000001E-3</v>
      </c>
      <c r="R23">
        <v>0</v>
      </c>
      <c r="S23">
        <v>5.0000000000000002E-5</v>
      </c>
      <c r="T23">
        <v>0.22549</v>
      </c>
      <c r="U23">
        <v>38.613639999999997</v>
      </c>
      <c r="V23">
        <v>5.1000000000000004E-4</v>
      </c>
      <c r="W23">
        <v>2.2000000000000001E-4</v>
      </c>
      <c r="X23">
        <v>1.235E-2</v>
      </c>
      <c r="Y23">
        <v>2.9E-4</v>
      </c>
      <c r="Z23">
        <v>90.68777</v>
      </c>
      <c r="AA23" t="s">
        <v>46</v>
      </c>
    </row>
    <row r="24" spans="1:27" x14ac:dyDescent="0.2">
      <c r="A24">
        <v>4.7600000000000003E-3</v>
      </c>
      <c r="B24">
        <v>3.63E-3</v>
      </c>
      <c r="C24">
        <v>2.0000000000000002E-5</v>
      </c>
      <c r="D24">
        <v>2.7999999999999998E-4</v>
      </c>
      <c r="E24">
        <v>2.5999999999999998E-4</v>
      </c>
      <c r="F24">
        <v>1.8000000000000001E-4</v>
      </c>
      <c r="G24">
        <v>8.1999999999999998E-4</v>
      </c>
      <c r="H24">
        <v>5.0000000000000002E-5</v>
      </c>
      <c r="I24">
        <v>0</v>
      </c>
      <c r="J24">
        <v>3.0000000000000001E-5</v>
      </c>
      <c r="K24">
        <v>0</v>
      </c>
      <c r="L24">
        <v>3.5E-4</v>
      </c>
      <c r="M24">
        <v>5.0000000000000002E-5</v>
      </c>
      <c r="N24">
        <v>6.8000000000000005E-4</v>
      </c>
      <c r="O24">
        <v>1.0399999999999999E-3</v>
      </c>
      <c r="P24">
        <v>2.1800000000000001E-3</v>
      </c>
      <c r="Q24">
        <v>4.15E-3</v>
      </c>
      <c r="R24">
        <v>2.0000000000000002E-5</v>
      </c>
      <c r="S24">
        <v>6.9999999999999994E-5</v>
      </c>
      <c r="T24">
        <v>0.24034</v>
      </c>
      <c r="U24">
        <v>31.25714</v>
      </c>
      <c r="V24">
        <v>7.6000000000000004E-4</v>
      </c>
      <c r="W24">
        <v>3.1E-4</v>
      </c>
      <c r="X24">
        <v>1.0829999999999999E-2</v>
      </c>
      <c r="Y24">
        <v>4.2999999999999999E-4</v>
      </c>
      <c r="Z24">
        <v>84.374129999999994</v>
      </c>
      <c r="AA24" t="s">
        <v>47</v>
      </c>
    </row>
    <row r="25" spans="1:27" x14ac:dyDescent="0.2">
      <c r="A25">
        <v>3.3800000000000002E-3</v>
      </c>
      <c r="B25">
        <v>2.8300000000000001E-3</v>
      </c>
      <c r="C25">
        <v>0</v>
      </c>
      <c r="D25">
        <v>2.3000000000000001E-4</v>
      </c>
      <c r="E25">
        <v>4.6000000000000001E-4</v>
      </c>
      <c r="F25">
        <v>1E-4</v>
      </c>
      <c r="G25">
        <v>7.2000000000000005E-4</v>
      </c>
      <c r="H25">
        <v>3.0000000000000001E-5</v>
      </c>
      <c r="I25">
        <v>3.0000000000000001E-5</v>
      </c>
      <c r="J25">
        <v>0</v>
      </c>
      <c r="K25">
        <v>0</v>
      </c>
      <c r="L25">
        <v>2.5999999999999998E-4</v>
      </c>
      <c r="M25">
        <v>6.9999999999999994E-5</v>
      </c>
      <c r="N25">
        <v>7.2000000000000005E-4</v>
      </c>
      <c r="O25">
        <v>1.14E-3</v>
      </c>
      <c r="P25">
        <v>1.98E-3</v>
      </c>
      <c r="Q25">
        <v>2.5699999999999998E-3</v>
      </c>
      <c r="R25">
        <v>0</v>
      </c>
      <c r="S25">
        <v>3.0000000000000001E-5</v>
      </c>
      <c r="T25">
        <v>0.27798</v>
      </c>
      <c r="U25">
        <v>30.34694</v>
      </c>
      <c r="V25">
        <v>5.5000000000000003E-4</v>
      </c>
      <c r="W25">
        <v>2.9E-4</v>
      </c>
      <c r="X25">
        <v>1.1480000000000001E-2</v>
      </c>
      <c r="Y25">
        <v>1.2999999999999999E-4</v>
      </c>
      <c r="Z25">
        <v>86.356740000000002</v>
      </c>
      <c r="AA25" t="s">
        <v>48</v>
      </c>
    </row>
    <row r="26" spans="1:27" x14ac:dyDescent="0.2">
      <c r="A26">
        <v>3.8899999999999998E-3</v>
      </c>
      <c r="B26">
        <v>2.2100000000000002E-3</v>
      </c>
      <c r="C26">
        <v>0</v>
      </c>
      <c r="D26">
        <v>5.5999999999999995E-4</v>
      </c>
      <c r="E26">
        <v>1.8000000000000001E-4</v>
      </c>
      <c r="F26">
        <v>1.3999999999999999E-4</v>
      </c>
      <c r="G26">
        <v>5.5999999999999995E-4</v>
      </c>
      <c r="H26">
        <v>3.2000000000000003E-4</v>
      </c>
      <c r="I26">
        <v>0</v>
      </c>
      <c r="J26">
        <v>4.0000000000000003E-5</v>
      </c>
      <c r="K26">
        <v>0</v>
      </c>
      <c r="L26">
        <v>6.9999999999999994E-5</v>
      </c>
      <c r="M26">
        <v>4.0000000000000003E-5</v>
      </c>
      <c r="N26">
        <v>5.2999999999999998E-4</v>
      </c>
      <c r="O26">
        <v>3.5E-4</v>
      </c>
      <c r="P26">
        <v>1.3699999999999999E-3</v>
      </c>
      <c r="Q26">
        <v>1.9300000000000001E-3</v>
      </c>
      <c r="R26">
        <v>0</v>
      </c>
      <c r="S26">
        <v>1.8000000000000001E-4</v>
      </c>
      <c r="T26">
        <v>0.32668999999999998</v>
      </c>
      <c r="U26">
        <v>35.388890000000004</v>
      </c>
      <c r="V26">
        <v>1.8000000000000001E-4</v>
      </c>
      <c r="W26">
        <v>4.2000000000000002E-4</v>
      </c>
      <c r="X26">
        <v>1.1379999999999999E-2</v>
      </c>
      <c r="Y26">
        <v>1.1E-4</v>
      </c>
      <c r="Z26">
        <v>93.058629999999994</v>
      </c>
      <c r="AA26" t="s">
        <v>49</v>
      </c>
    </row>
    <row r="27" spans="1:27" x14ac:dyDescent="0.2">
      <c r="A27">
        <v>2.7399999999999998E-3</v>
      </c>
      <c r="B27">
        <v>1.9599999999999999E-3</v>
      </c>
      <c r="C27">
        <v>0</v>
      </c>
      <c r="D27">
        <v>3.4000000000000002E-4</v>
      </c>
      <c r="E27">
        <v>2.7999999999999998E-4</v>
      </c>
      <c r="F27">
        <v>1.2E-4</v>
      </c>
      <c r="G27">
        <v>1E-3</v>
      </c>
      <c r="H27">
        <v>6.0000000000000002E-5</v>
      </c>
      <c r="I27">
        <v>0</v>
      </c>
      <c r="J27">
        <v>0</v>
      </c>
      <c r="K27">
        <v>0</v>
      </c>
      <c r="L27">
        <v>3.1E-4</v>
      </c>
      <c r="M27">
        <v>9.0000000000000006E-5</v>
      </c>
      <c r="N27">
        <v>5.2999999999999998E-4</v>
      </c>
      <c r="O27">
        <v>4.4000000000000002E-4</v>
      </c>
      <c r="P27">
        <v>1.74E-3</v>
      </c>
      <c r="Q27">
        <v>2.8300000000000001E-3</v>
      </c>
      <c r="R27">
        <v>3.0000000000000001E-5</v>
      </c>
      <c r="S27">
        <v>3.0000000000000001E-5</v>
      </c>
      <c r="T27">
        <v>0.23507</v>
      </c>
      <c r="U27">
        <v>31.295770000000001</v>
      </c>
      <c r="V27">
        <v>4.0000000000000002E-4</v>
      </c>
      <c r="W27">
        <v>9.0000000000000006E-5</v>
      </c>
      <c r="X27">
        <v>1.187E-2</v>
      </c>
      <c r="Y27">
        <v>1.6000000000000001E-4</v>
      </c>
      <c r="Z27">
        <v>88.933520000000001</v>
      </c>
      <c r="AA27" t="s">
        <v>50</v>
      </c>
    </row>
    <row r="28" spans="1:27" x14ac:dyDescent="0.2">
      <c r="A28">
        <v>3.4099999999999998E-3</v>
      </c>
      <c r="B28">
        <v>2.4399999999999999E-3</v>
      </c>
      <c r="C28">
        <v>3.0000000000000001E-5</v>
      </c>
      <c r="D28">
        <v>5.9000000000000003E-4</v>
      </c>
      <c r="E28">
        <v>3.6000000000000002E-4</v>
      </c>
      <c r="F28">
        <v>2.3000000000000001E-4</v>
      </c>
      <c r="G28">
        <v>6.6E-4</v>
      </c>
      <c r="H28">
        <v>1.2999999999999999E-4</v>
      </c>
      <c r="I28">
        <v>0</v>
      </c>
      <c r="J28">
        <v>0</v>
      </c>
      <c r="K28">
        <v>0</v>
      </c>
      <c r="L28">
        <v>2.3000000000000001E-4</v>
      </c>
      <c r="M28">
        <v>3.0000000000000001E-5</v>
      </c>
      <c r="N28">
        <v>5.1000000000000004E-4</v>
      </c>
      <c r="O28">
        <v>6.6E-4</v>
      </c>
      <c r="P28">
        <v>1.9300000000000001E-3</v>
      </c>
      <c r="Q28">
        <v>2.7699999999999999E-3</v>
      </c>
      <c r="R28">
        <v>3.0000000000000001E-5</v>
      </c>
      <c r="S28">
        <v>5.0000000000000002E-5</v>
      </c>
      <c r="T28">
        <v>0.22561</v>
      </c>
      <c r="U28">
        <v>32.729999999999997</v>
      </c>
      <c r="V28">
        <v>5.1000000000000004E-4</v>
      </c>
      <c r="W28">
        <v>2.7999999999999998E-4</v>
      </c>
      <c r="X28">
        <v>1.188E-2</v>
      </c>
      <c r="Y28">
        <v>4.2999999999999999E-4</v>
      </c>
      <c r="Z28">
        <v>89.935929999999999</v>
      </c>
      <c r="AA28" t="s">
        <v>51</v>
      </c>
    </row>
    <row r="29" spans="1:27" x14ac:dyDescent="0.2">
      <c r="A29">
        <v>5.0099999999999997E-3</v>
      </c>
      <c r="B29">
        <v>4.64E-3</v>
      </c>
      <c r="C29">
        <v>5.0000000000000002E-5</v>
      </c>
      <c r="D29">
        <v>6.4999999999999997E-4</v>
      </c>
      <c r="E29">
        <v>5.1000000000000004E-4</v>
      </c>
      <c r="F29">
        <v>2.3000000000000001E-4</v>
      </c>
      <c r="G29">
        <v>7.3999999999999999E-4</v>
      </c>
      <c r="H29">
        <v>0</v>
      </c>
      <c r="I29">
        <v>0</v>
      </c>
      <c r="J29">
        <v>0</v>
      </c>
      <c r="K29">
        <v>0</v>
      </c>
      <c r="L29">
        <v>3.2000000000000003E-4</v>
      </c>
      <c r="M29">
        <v>9.0000000000000006E-5</v>
      </c>
      <c r="N29">
        <v>1.16E-3</v>
      </c>
      <c r="O29">
        <v>1.2999999999999999E-3</v>
      </c>
      <c r="P29">
        <v>1.99E-3</v>
      </c>
      <c r="Q29">
        <v>4.64E-3</v>
      </c>
      <c r="R29">
        <v>5.0000000000000002E-5</v>
      </c>
      <c r="S29">
        <v>9.0000000000000006E-5</v>
      </c>
      <c r="T29">
        <v>0.33857999999999999</v>
      </c>
      <c r="U29">
        <v>30.02469</v>
      </c>
      <c r="V29">
        <v>1.9000000000000001E-4</v>
      </c>
      <c r="W29">
        <v>1.3999999999999999E-4</v>
      </c>
      <c r="X29">
        <v>1.247E-2</v>
      </c>
      <c r="Y29">
        <v>0</v>
      </c>
      <c r="Z29">
        <v>95.039649999999995</v>
      </c>
      <c r="AA29" t="s">
        <v>52</v>
      </c>
    </row>
    <row r="30" spans="1:27" x14ac:dyDescent="0.2">
      <c r="A30">
        <v>2.5000000000000001E-3</v>
      </c>
      <c r="B30">
        <v>3.4199999999999999E-3</v>
      </c>
      <c r="C30">
        <v>3.0000000000000001E-5</v>
      </c>
      <c r="D30">
        <v>5.9000000000000003E-4</v>
      </c>
      <c r="E30">
        <v>2.1000000000000001E-4</v>
      </c>
      <c r="F30">
        <v>1.2E-4</v>
      </c>
      <c r="G30">
        <v>8.3000000000000001E-4</v>
      </c>
      <c r="H30">
        <v>6.0000000000000002E-5</v>
      </c>
      <c r="I30">
        <v>0</v>
      </c>
      <c r="J30">
        <v>3.0000000000000001E-5</v>
      </c>
      <c r="K30">
        <v>0</v>
      </c>
      <c r="L30">
        <v>2.4000000000000001E-4</v>
      </c>
      <c r="M30">
        <v>9.0000000000000006E-5</v>
      </c>
      <c r="N30">
        <v>4.4999999999999999E-4</v>
      </c>
      <c r="O30">
        <v>9.2000000000000003E-4</v>
      </c>
      <c r="P30">
        <v>1.8699999999999999E-3</v>
      </c>
      <c r="Q30">
        <v>3.2100000000000002E-3</v>
      </c>
      <c r="R30">
        <v>9.0000000000000006E-5</v>
      </c>
      <c r="S30">
        <v>9.0000000000000006E-5</v>
      </c>
      <c r="T30">
        <v>0.23108000000000001</v>
      </c>
      <c r="U30">
        <v>33.049999999999997</v>
      </c>
      <c r="V30">
        <v>6.4999999999999997E-4</v>
      </c>
      <c r="W30">
        <v>3.6000000000000002E-4</v>
      </c>
      <c r="X30">
        <v>1.23E-2</v>
      </c>
      <c r="Y30">
        <v>1.4999999999999999E-4</v>
      </c>
      <c r="Z30">
        <v>93.749300000000005</v>
      </c>
      <c r="AA30" t="s">
        <v>53</v>
      </c>
    </row>
    <row r="31" spans="1:27" x14ac:dyDescent="0.2">
      <c r="A31">
        <v>2.96E-3</v>
      </c>
      <c r="B31">
        <v>3.8300000000000001E-3</v>
      </c>
      <c r="C31">
        <v>3.0000000000000001E-5</v>
      </c>
      <c r="D31">
        <v>3.3E-4</v>
      </c>
      <c r="E31">
        <v>2.4000000000000001E-4</v>
      </c>
      <c r="F31">
        <v>2.4000000000000001E-4</v>
      </c>
      <c r="G31">
        <v>4.0999999999999999E-4</v>
      </c>
      <c r="H31">
        <v>1.3999999999999999E-4</v>
      </c>
      <c r="I31">
        <v>0</v>
      </c>
      <c r="J31">
        <v>0</v>
      </c>
      <c r="K31">
        <v>0</v>
      </c>
      <c r="L31">
        <v>2.9999999999999997E-4</v>
      </c>
      <c r="M31">
        <v>0</v>
      </c>
      <c r="N31">
        <v>6.3000000000000003E-4</v>
      </c>
      <c r="O31">
        <v>7.6000000000000004E-4</v>
      </c>
      <c r="P31">
        <v>1.7700000000000001E-3</v>
      </c>
      <c r="Q31">
        <v>3.5899999999999999E-3</v>
      </c>
      <c r="R31">
        <v>3.0000000000000001E-5</v>
      </c>
      <c r="S31">
        <v>0</v>
      </c>
      <c r="T31">
        <v>0.26896999999999999</v>
      </c>
      <c r="U31">
        <v>32.625</v>
      </c>
      <c r="V31">
        <v>3.8000000000000002E-4</v>
      </c>
      <c r="W31">
        <v>3.5E-4</v>
      </c>
      <c r="X31">
        <v>1.2500000000000001E-2</v>
      </c>
      <c r="Y31">
        <v>3.8000000000000002E-4</v>
      </c>
      <c r="Z31">
        <v>86.966899999999995</v>
      </c>
      <c r="AA31" t="s">
        <v>54</v>
      </c>
    </row>
    <row r="32" spans="1:27" x14ac:dyDescent="0.2">
      <c r="A32">
        <v>1.187E-2</v>
      </c>
      <c r="B32">
        <v>1.2189999999999999E-2</v>
      </c>
      <c r="C32">
        <v>5.0000000000000002E-5</v>
      </c>
      <c r="D32">
        <v>7.3999999999999999E-4</v>
      </c>
      <c r="E32">
        <v>4.6999999999999999E-4</v>
      </c>
      <c r="F32">
        <v>4.0000000000000002E-4</v>
      </c>
      <c r="G32">
        <v>9.7000000000000005E-4</v>
      </c>
      <c r="H32">
        <v>2.5000000000000001E-4</v>
      </c>
      <c r="I32">
        <v>2.0000000000000002E-5</v>
      </c>
      <c r="J32">
        <v>0</v>
      </c>
      <c r="K32">
        <v>0</v>
      </c>
      <c r="L32">
        <v>3.6999999999999999E-4</v>
      </c>
      <c r="M32">
        <v>2.2000000000000001E-4</v>
      </c>
      <c r="N32">
        <v>1.91E-3</v>
      </c>
      <c r="O32">
        <v>2.4299999999999999E-3</v>
      </c>
      <c r="P32">
        <v>2.9099999999999998E-3</v>
      </c>
      <c r="Q32">
        <v>7.9500000000000005E-3</v>
      </c>
      <c r="R32">
        <v>2.9999999999999997E-4</v>
      </c>
      <c r="S32">
        <v>0</v>
      </c>
      <c r="T32">
        <v>0.16081000000000001</v>
      </c>
      <c r="U32">
        <v>25.084340000000001</v>
      </c>
      <c r="V32">
        <v>3.5E-4</v>
      </c>
      <c r="W32">
        <v>5.0000000000000002E-5</v>
      </c>
      <c r="X32">
        <v>9.7800000000000005E-3</v>
      </c>
      <c r="Y32">
        <v>4.2000000000000002E-4</v>
      </c>
      <c r="Z32">
        <v>37.67259</v>
      </c>
      <c r="AA32" t="s">
        <v>55</v>
      </c>
    </row>
    <row r="33" spans="1:27" x14ac:dyDescent="0.2">
      <c r="A33">
        <v>1.29E-2</v>
      </c>
      <c r="B33">
        <v>1.2630000000000001E-2</v>
      </c>
      <c r="C33">
        <v>1.2999999999999999E-4</v>
      </c>
      <c r="D33">
        <v>1.0300000000000001E-3</v>
      </c>
      <c r="E33">
        <v>2.3000000000000001E-4</v>
      </c>
      <c r="F33">
        <v>5.5000000000000003E-4</v>
      </c>
      <c r="G33">
        <v>7.5000000000000002E-4</v>
      </c>
      <c r="H33">
        <v>1.4999999999999999E-4</v>
      </c>
      <c r="I33">
        <v>8.0000000000000007E-5</v>
      </c>
      <c r="J33">
        <v>0</v>
      </c>
      <c r="K33">
        <v>3.0000000000000001E-5</v>
      </c>
      <c r="L33">
        <v>4.4999999999999999E-4</v>
      </c>
      <c r="M33">
        <v>2.7999999999999998E-4</v>
      </c>
      <c r="N33">
        <v>3.0300000000000001E-3</v>
      </c>
      <c r="O33">
        <v>2.5000000000000001E-3</v>
      </c>
      <c r="P33">
        <v>3.0799999999999998E-3</v>
      </c>
      <c r="Q33">
        <v>9.1299999999999992E-3</v>
      </c>
      <c r="R33">
        <v>1.8000000000000001E-4</v>
      </c>
      <c r="S33">
        <v>3.0000000000000001E-5</v>
      </c>
      <c r="T33">
        <v>0.17097000000000001</v>
      </c>
      <c r="U33">
        <v>26.44379</v>
      </c>
      <c r="V33">
        <v>3.5E-4</v>
      </c>
      <c r="W33">
        <v>2.3000000000000001E-4</v>
      </c>
      <c r="X33">
        <v>1.005E-2</v>
      </c>
      <c r="Y33">
        <v>4.2999999999999999E-4</v>
      </c>
      <c r="Z33">
        <v>34.035739999999997</v>
      </c>
      <c r="AA33" t="s">
        <v>56</v>
      </c>
    </row>
    <row r="34" spans="1:27" x14ac:dyDescent="0.2">
      <c r="A34">
        <v>1.319E-2</v>
      </c>
      <c r="B34">
        <v>1.1990000000000001E-2</v>
      </c>
      <c r="C34">
        <v>2.5000000000000001E-4</v>
      </c>
      <c r="D34">
        <v>8.8000000000000003E-4</v>
      </c>
      <c r="E34">
        <v>7.5000000000000002E-4</v>
      </c>
      <c r="F34">
        <v>7.2999999999999996E-4</v>
      </c>
      <c r="G34">
        <v>7.6999999999999996E-4</v>
      </c>
      <c r="H34">
        <v>2.5000000000000001E-4</v>
      </c>
      <c r="I34">
        <v>2.0000000000000002E-5</v>
      </c>
      <c r="J34">
        <v>0</v>
      </c>
      <c r="K34">
        <v>0</v>
      </c>
      <c r="L34">
        <v>4.8000000000000001E-4</v>
      </c>
      <c r="M34">
        <v>2.5000000000000001E-4</v>
      </c>
      <c r="N34">
        <v>2.33E-3</v>
      </c>
      <c r="O34">
        <v>1.9499999999999999E-3</v>
      </c>
      <c r="P34">
        <v>2.33E-3</v>
      </c>
      <c r="Q34">
        <v>1.056E-2</v>
      </c>
      <c r="R34">
        <v>1.3999999999999999E-4</v>
      </c>
      <c r="S34">
        <v>0</v>
      </c>
      <c r="T34">
        <v>0.17161999999999999</v>
      </c>
      <c r="U34">
        <v>25.236560000000001</v>
      </c>
      <c r="V34">
        <v>3.2000000000000003E-4</v>
      </c>
      <c r="W34">
        <v>2.3000000000000001E-4</v>
      </c>
      <c r="X34">
        <v>1.017E-2</v>
      </c>
      <c r="Y34">
        <v>2.3000000000000001E-4</v>
      </c>
      <c r="Z34">
        <v>32.957430000000002</v>
      </c>
      <c r="AA34" t="s">
        <v>57</v>
      </c>
    </row>
    <row r="35" spans="1:27" x14ac:dyDescent="0.2">
      <c r="A35">
        <v>1.389E-2</v>
      </c>
      <c r="B35">
        <v>1.1679999999999999E-2</v>
      </c>
      <c r="C35">
        <v>1.3999999999999999E-4</v>
      </c>
      <c r="D35">
        <v>9.1E-4</v>
      </c>
      <c r="E35">
        <v>4.0000000000000002E-4</v>
      </c>
      <c r="F35">
        <v>6.3000000000000003E-4</v>
      </c>
      <c r="G35">
        <v>6.0999999999999997E-4</v>
      </c>
      <c r="H35">
        <v>4.0000000000000002E-4</v>
      </c>
      <c r="I35">
        <v>0</v>
      </c>
      <c r="J35">
        <v>0</v>
      </c>
      <c r="K35">
        <v>0</v>
      </c>
      <c r="L35">
        <v>5.8E-4</v>
      </c>
      <c r="M35">
        <v>3.5E-4</v>
      </c>
      <c r="N35">
        <v>2.98E-3</v>
      </c>
      <c r="O35">
        <v>2.3500000000000001E-3</v>
      </c>
      <c r="P35">
        <v>3.1199999999999999E-3</v>
      </c>
      <c r="Q35">
        <v>7.9799999999999992E-3</v>
      </c>
      <c r="R35">
        <v>1.3999999999999999E-4</v>
      </c>
      <c r="S35">
        <v>5.0000000000000002E-5</v>
      </c>
      <c r="T35">
        <v>0.22095999999999999</v>
      </c>
      <c r="U35">
        <v>23.262930000000001</v>
      </c>
      <c r="V35">
        <v>3.3E-4</v>
      </c>
      <c r="W35">
        <v>9.0000000000000006E-5</v>
      </c>
      <c r="X35">
        <v>1.052E-2</v>
      </c>
      <c r="Y35">
        <v>5.0000000000000002E-5</v>
      </c>
      <c r="Z35">
        <v>37.892420000000001</v>
      </c>
      <c r="AA35" t="s">
        <v>58</v>
      </c>
    </row>
    <row r="36" spans="1:27" x14ac:dyDescent="0.2">
      <c r="A36">
        <v>1.2930000000000001E-2</v>
      </c>
      <c r="B36">
        <v>1.2160000000000001E-2</v>
      </c>
      <c r="C36">
        <v>3.0000000000000001E-5</v>
      </c>
      <c r="D36">
        <v>1.2600000000000001E-3</v>
      </c>
      <c r="E36">
        <v>1.9000000000000001E-4</v>
      </c>
      <c r="F36">
        <v>7.3999999999999999E-4</v>
      </c>
      <c r="G36">
        <v>8.0000000000000004E-4</v>
      </c>
      <c r="H36">
        <v>5.5000000000000003E-4</v>
      </c>
      <c r="I36">
        <v>1.1E-4</v>
      </c>
      <c r="J36">
        <v>5.0000000000000002E-5</v>
      </c>
      <c r="K36">
        <v>0</v>
      </c>
      <c r="L36">
        <v>3.3E-4</v>
      </c>
      <c r="M36">
        <v>2.9999999999999997E-4</v>
      </c>
      <c r="N36">
        <v>3.3999999999999998E-3</v>
      </c>
      <c r="O36">
        <v>2.14E-3</v>
      </c>
      <c r="P36">
        <v>3.6800000000000001E-3</v>
      </c>
      <c r="Q36">
        <v>5.0800000000000003E-3</v>
      </c>
      <c r="R36">
        <v>1.1E-4</v>
      </c>
      <c r="S36">
        <v>3.0000000000000001E-5</v>
      </c>
      <c r="T36">
        <v>0.29446</v>
      </c>
      <c r="U36">
        <v>27.180489999999999</v>
      </c>
      <c r="V36">
        <v>2.7E-4</v>
      </c>
      <c r="W36">
        <v>1.1E-4</v>
      </c>
      <c r="X36">
        <v>1.1860000000000001E-2</v>
      </c>
      <c r="Y36">
        <v>1.9000000000000001E-4</v>
      </c>
      <c r="Z36">
        <v>51.226439999999997</v>
      </c>
      <c r="AA36" t="s">
        <v>59</v>
      </c>
    </row>
    <row r="37" spans="1:27" x14ac:dyDescent="0.2">
      <c r="A37">
        <v>1.223E-2</v>
      </c>
      <c r="B37">
        <v>1.176E-2</v>
      </c>
      <c r="C37">
        <v>1.3999999999999999E-4</v>
      </c>
      <c r="D37">
        <v>8.3000000000000001E-4</v>
      </c>
      <c r="E37">
        <v>3.1E-4</v>
      </c>
      <c r="F37">
        <v>5.9000000000000003E-4</v>
      </c>
      <c r="G37">
        <v>7.2999999999999996E-4</v>
      </c>
      <c r="H37">
        <v>3.5E-4</v>
      </c>
      <c r="I37">
        <v>1.2E-4</v>
      </c>
      <c r="J37">
        <v>0</v>
      </c>
      <c r="K37">
        <v>0</v>
      </c>
      <c r="L37">
        <v>4.2999999999999999E-4</v>
      </c>
      <c r="M37">
        <v>3.3E-4</v>
      </c>
      <c r="N37">
        <v>2.98E-3</v>
      </c>
      <c r="O37">
        <v>2.4599999999999999E-3</v>
      </c>
      <c r="P37">
        <v>2.5799999999999998E-3</v>
      </c>
      <c r="Q37">
        <v>8.8199999999999997E-3</v>
      </c>
      <c r="R37">
        <v>3.8000000000000002E-4</v>
      </c>
      <c r="S37">
        <v>5.0000000000000002E-5</v>
      </c>
      <c r="T37">
        <v>0.2039</v>
      </c>
      <c r="U37">
        <v>24.603960000000001</v>
      </c>
      <c r="V37">
        <v>4.4999999999999999E-4</v>
      </c>
      <c r="W37">
        <v>1.3999999999999999E-4</v>
      </c>
      <c r="X37">
        <v>9.5600000000000008E-3</v>
      </c>
      <c r="Y37">
        <v>2.1000000000000001E-4</v>
      </c>
      <c r="Z37">
        <v>36.6</v>
      </c>
      <c r="AA37" t="s">
        <v>60</v>
      </c>
    </row>
  </sheetData>
  <pageMargins left="0.75" right="0.75" top="1" bottom="1" header="0.5" footer="0.5"/>
  <pageSetup orientation="portrait" horizontalDpi="0" verticalDpi="0"/>
</worksheet>
</file>